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การเรียนและตัดเกรด" sheetId="1" state="visible" r:id="rId1"/>
    <sheet xmlns:r="http://schemas.openxmlformats.org/officeDocument/2006/relationships" name="คะแนนดิบ" sheetId="2" state="visible" r:id="rId2"/>
    <sheet xmlns:r="http://schemas.openxmlformats.org/officeDocument/2006/relationships" name="จับคู่บัญชี-อีเม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Tahoma"/>
      <b val="1"/>
      <color rgb="001B365D"/>
      <sz val="14"/>
    </font>
    <font>
      <name val="Tahoma"/>
      <color rgb="00595959"/>
      <sz val="10"/>
    </font>
    <font>
      <name val="Tahoma"/>
      <b val="1"/>
      <color rgb="00004D40"/>
      <sz val="10"/>
    </font>
    <font>
      <name val="Tahoma"/>
      <b val="1"/>
      <color rgb="00FFFFFF"/>
      <sz val="10"/>
    </font>
    <font>
      <name val="Tahoma"/>
      <b val="1"/>
      <color rgb="00FFFFFF"/>
      <sz val="9"/>
    </font>
    <font>
      <name val="Tahoma"/>
      <color rgb="00000000"/>
      <sz val="9.5"/>
    </font>
    <font>
      <name val="Tahoma"/>
      <b val="1"/>
      <color rgb="00000000"/>
      <sz val="9.5"/>
    </font>
    <font>
      <name val="Tahoma"/>
      <b val="1"/>
      <color rgb="001B365D"/>
      <sz val="9.5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35400"/>
        <bgColor rgb="00D35400"/>
      </patternFill>
    </fill>
    <fill>
      <patternFill patternType="solid">
        <fgColor rgb="001F4E78"/>
        <bgColor rgb="001F4E78"/>
      </patternFill>
    </fill>
    <fill>
      <patternFill patternType="solid">
        <fgColor rgb="001E8449"/>
        <bgColor rgb="001E8449"/>
      </patternFill>
    </fill>
    <fill>
      <patternFill patternType="solid">
        <fgColor rgb="006C3483"/>
        <bgColor rgb="006C3483"/>
      </patternFill>
    </fill>
    <fill>
      <patternFill patternType="solid">
        <fgColor rgb="000E6251"/>
        <bgColor rgb="000E6251"/>
      </patternFill>
    </fill>
    <fill>
      <patternFill patternType="solid">
        <fgColor rgb="00283747"/>
        <bgColor rgb="00283747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B365D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double">
        <color rgb="001B365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/>
    </xf>
    <xf numFmtId="49" fontId="6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1" fontId="6" fillId="9" borderId="2" applyAlignment="1" pivotButton="0" quotePrefix="0" xfId="0">
      <alignment horizontal="center" vertical="center"/>
    </xf>
    <xf numFmtId="2" fontId="7" fillId="9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49" fontId="6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1" fontId="6" fillId="10" borderId="2" applyAlignment="1" pivotButton="0" quotePrefix="0" xfId="0">
      <alignment horizontal="center" vertical="center"/>
    </xf>
    <xf numFmtId="2" fontId="7" fillId="10" borderId="2" applyAlignment="1" pivotButton="0" quotePrefix="0" xfId="0">
      <alignment horizontal="right" vertical="center"/>
    </xf>
    <xf numFmtId="164" fontId="6" fillId="10" borderId="2" applyAlignment="1" pivotButton="0" quotePrefix="0" xfId="0">
      <alignment horizontal="right" vertical="center"/>
    </xf>
    <xf numFmtId="164" fontId="7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right" vertical="center"/>
    </xf>
    <xf numFmtId="0" fontId="0" fillId="11" borderId="2" pivotButton="0" quotePrefix="0" xfId="0"/>
    <xf numFmtId="2" fontId="8" fillId="11" borderId="2" applyAlignment="1" pivotButton="0" quotePrefix="0" xfId="0">
      <alignment horizontal="right" vertical="center"/>
    </xf>
    <xf numFmtId="1" fontId="8" fillId="11" borderId="2" applyAlignment="1" pivotButton="0" quotePrefix="0" xfId="0">
      <alignment horizontal="right" vertical="center"/>
    </xf>
    <xf numFmtId="0" fontId="8" fillId="11" borderId="3" applyAlignment="1" pivotButton="0" quotePrefix="0" xfId="0">
      <alignment horizontal="right" vertical="center"/>
    </xf>
    <xf numFmtId="0" fontId="0" fillId="11" borderId="3" pivotButton="0" quotePrefix="0" xfId="0"/>
    <xf numFmtId="1" fontId="8" fillId="11" borderId="3" applyAlignment="1" pivotButton="0" quotePrefix="0" xfId="0">
      <alignment horizontal="right" vertical="center"/>
    </xf>
    <xf numFmtId="2" fontId="8" fillId="11" borderId="3" applyAlignment="1" pivotButton="0" quotePrefix="0" xfId="0">
      <alignment horizontal="right" vertical="center"/>
    </xf>
    <xf numFmtId="0" fontId="7" fillId="11" borderId="3" applyAlignment="1" pivotButton="0" quotePrefix="0" xfId="0">
      <alignment horizontal="right" vertical="center"/>
    </xf>
    <xf numFmtId="0" fontId="7" fillId="11" borderId="3" applyAlignment="1" pivotButton="0" quotePrefix="0" xfId="0">
      <alignment horizontal="center" vertical="center"/>
    </xf>
    <xf numFmtId="2" fontId="7" fillId="11" borderId="3" applyAlignment="1" pivotButton="0" quotePrefix="0" xfId="0">
      <alignment horizontal="right" vertical="center"/>
    </xf>
    <xf numFmtId="164" fontId="7" fillId="9" borderId="2" applyAlignment="1" pivotButton="0" quotePrefix="0" xfId="0">
      <alignment horizontal="right" vertical="center"/>
    </xf>
    <xf numFmtId="1" fontId="6" fillId="12" borderId="2" applyAlignment="1" pivotButton="0" quotePrefix="0" xfId="0">
      <alignment horizontal="center" vertical="center"/>
    </xf>
    <xf numFmtId="164" fontId="7" fillId="10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right" vertical="center"/>
    </xf>
    <xf numFmtId="164" fontId="8" fillId="11" borderId="3" applyAlignment="1" pivotButton="0" quotePrefix="0" xfId="0">
      <alignment horizontal="center" vertical="center"/>
    </xf>
    <xf numFmtId="164" fontId="8" fillId="11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4" customWidth="1" min="14" max="14"/>
  </cols>
  <sheetData>
    <row r="1" ht="24" customHeight="1">
      <c r="A1" s="1" t="inlineStr">
        <is>
          <t>รายงานสรุปผลการประเมินและตัดเกรดประจำวิชา การสร้างเว็บไซต์และระบบฐานข้อมูล (31909-0003)</t>
        </is>
      </c>
    </row>
    <row r="2" ht="18" customHeight="1">
      <c r="A2" s="2" t="inlineStr">
        <is>
          <t>ระดับชั้น ปวส.1 สาขาวิชาเทคโนโลยีคอมพิวเตอร์ (กลุ่ม 1 สทค 2 (ม.6)) | ภาคเรียนที่ 1/2569 | ครูผู้สอน: นายไพบูลย์ สมนึก</t>
        </is>
      </c>
    </row>
    <row r="3" ht="18" customHeight="1">
      <c r="A3" s="3" t="inlineStr">
        <is>
          <t>เกณฑ์การตัดเกรด: จิตพิสัย (เวลาเรียน) 20% : คะแนนเก็บ 50% : สอบกลางภาค 10% : สอบปลายภาค 20% (รวม 100%)</t>
        </is>
      </c>
    </row>
    <row r="4" ht="8" customHeight="1"/>
    <row r="5" ht="24" customHeight="1">
      <c r="A5" s="4" t="inlineStr">
        <is>
          <t>ข้อมูลนักศึกษา</t>
        </is>
      </c>
      <c r="B5" s="5" t="n"/>
      <c r="C5" s="5" t="n"/>
      <c r="D5" s="6" t="inlineStr">
        <is>
          <t>จิตพิสัย (เวลาเรียน 20%)</t>
        </is>
      </c>
      <c r="E5" s="7" t="n"/>
      <c r="F5" s="8" t="inlineStr">
        <is>
          <t>คะแนนเก็บ (50%)</t>
        </is>
      </c>
      <c r="G5" s="9" t="n"/>
      <c r="H5" s="10" t="inlineStr">
        <is>
          <t>สอบกลางภาค (10%)</t>
        </is>
      </c>
      <c r="I5" s="11" t="n"/>
      <c r="J5" s="12" t="inlineStr">
        <is>
          <t>สอบปลายภาค (20%)</t>
        </is>
      </c>
      <c r="K5" s="13" t="n"/>
      <c r="L5" s="14" t="inlineStr">
        <is>
          <t>สรุปผลการเรียน (100%)</t>
        </is>
      </c>
      <c r="M5" s="15" t="n"/>
      <c r="N5" s="15" t="n"/>
    </row>
    <row r="6" ht="36" customHeight="1">
      <c r="A6" s="16" t="inlineStr">
        <is>
          <t>ลำดับที่</t>
        </is>
      </c>
      <c r="B6" s="16" t="inlineStr">
        <is>
          <t>รหัสนักศึกษา</t>
        </is>
      </c>
      <c r="C6" s="16" t="inlineStr">
        <is>
          <t>ชื่อ - สกุล</t>
        </is>
      </c>
      <c r="D6" s="17" t="inlineStr">
        <is>
          <t>มาเรียน
(10 ครั้ง)</t>
        </is>
      </c>
      <c r="E6" s="17" t="inlineStr">
        <is>
          <t>จิตพิสัย
(เต็ม 20)</t>
        </is>
      </c>
      <c r="F6" s="18" t="inlineStr">
        <is>
          <t>คะแนนดิบ
(เต็ม 130)</t>
        </is>
      </c>
      <c r="G6" s="18" t="inlineStr">
        <is>
          <t>ทอนคะแนน
(เต็ม 50)</t>
        </is>
      </c>
      <c r="H6" s="19" t="inlineStr">
        <is>
          <t>คะแนนดิบ
(เต็ม 100)</t>
        </is>
      </c>
      <c r="I6" s="19" t="inlineStr">
        <is>
          <t>ทอนคะแนน
(เต็ม 10)</t>
        </is>
      </c>
      <c r="J6" s="20" t="inlineStr">
        <is>
          <t>คะแนนดิบ
(เต็ม 100)</t>
        </is>
      </c>
      <c r="K6" s="20" t="inlineStr">
        <is>
          <t>ทอนคะแนน
(เต็ม 20)</t>
        </is>
      </c>
      <c r="L6" s="21" t="inlineStr">
        <is>
          <t>คะแนนรวม
(เต็ม 100)</t>
        </is>
      </c>
      <c r="M6" s="22" t="inlineStr">
        <is>
          <t>ระดับเกรด
(0 - 4)</t>
        </is>
      </c>
      <c r="N6" s="22" t="inlineStr">
        <is>
          <t>ผลการประเมิน</t>
        </is>
      </c>
    </row>
    <row r="7" ht="20" customHeight="1">
      <c r="A7" s="23" t="n">
        <v>1</v>
      </c>
      <c r="B7" s="24" t="inlineStr">
        <is>
          <t>69319090021</t>
        </is>
      </c>
      <c r="C7" s="25" t="inlineStr">
        <is>
          <t>นางสาวกาญจน์เกล้า  แซ่ลิ้ม</t>
        </is>
      </c>
      <c r="D7" s="26" t="n">
        <v>10</v>
      </c>
      <c r="E7" s="27">
        <f>ROUND((D7/10)*20, 2)</f>
        <v/>
      </c>
      <c r="F7" s="28">
        <f>'คะแนนดิบ'!Q6</f>
        <v/>
      </c>
      <c r="G7" s="27">
        <f>ROUND((F7/130)*50, 2)</f>
        <v/>
      </c>
      <c r="H7" s="28">
        <f>'คะแนนดิบ'!U6</f>
        <v/>
      </c>
      <c r="I7" s="27">
        <f>ROUND((H7/100)*10, 2)</f>
        <v/>
      </c>
      <c r="J7" s="28">
        <f>'คะแนนดิบ'!X6</f>
        <v/>
      </c>
      <c r="K7" s="27">
        <f>ROUND((J7/100)*20, 2)</f>
        <v/>
      </c>
      <c r="L7" s="27">
        <f>ROUND(E7+G7+I7+K7, 2)</f>
        <v/>
      </c>
      <c r="M7" s="29">
        <f>IF(L7&gt;=80, 4, IF(L7&gt;=75, 3.5, IF(L7&gt;=70, 3, IF(L7&gt;=65, 2.5, IF(L7&gt;=60, 2, IF(L7&gt;=55, 1.5, IF(L7&gt;=50, 1, 0)))))))</f>
        <v/>
      </c>
      <c r="N7" s="30">
        <f>IF(M7&gt;0, "ผ่าน", "ไม่ผ่าน")</f>
        <v/>
      </c>
    </row>
    <row r="8" ht="20" customHeight="1">
      <c r="A8" s="31" t="n">
        <v>2</v>
      </c>
      <c r="B8" s="32" t="inlineStr">
        <is>
          <t>69319090022</t>
        </is>
      </c>
      <c r="C8" s="33" t="inlineStr">
        <is>
          <t>นางสาวฐิติพร  เจริญสลุง</t>
        </is>
      </c>
      <c r="D8" s="34" t="n">
        <v>10</v>
      </c>
      <c r="E8" s="35">
        <f>ROUND((D8/10)*20, 2)</f>
        <v/>
      </c>
      <c r="F8" s="36">
        <f>'คะแนนดิบ'!Q7</f>
        <v/>
      </c>
      <c r="G8" s="35">
        <f>ROUND((F8/130)*50, 2)</f>
        <v/>
      </c>
      <c r="H8" s="36">
        <f>'คะแนนดิบ'!U7</f>
        <v/>
      </c>
      <c r="I8" s="35">
        <f>ROUND((H8/100)*10, 2)</f>
        <v/>
      </c>
      <c r="J8" s="36">
        <f>'คะแนนดิบ'!X7</f>
        <v/>
      </c>
      <c r="K8" s="35">
        <f>ROUND((J8/100)*20, 2)</f>
        <v/>
      </c>
      <c r="L8" s="35">
        <f>ROUND(E8+G8+I8+K8, 2)</f>
        <v/>
      </c>
      <c r="M8" s="37">
        <f>IF(L8&gt;=80, 4, IF(L8&gt;=75, 3.5, IF(L8&gt;=70, 3, IF(L8&gt;=65, 2.5, IF(L8&gt;=60, 2, IF(L8&gt;=55, 1.5, IF(L8&gt;=50, 1, 0)))))))</f>
        <v/>
      </c>
      <c r="N8" s="38">
        <f>IF(M8&gt;0, "ผ่าน", "ไม่ผ่าน")</f>
        <v/>
      </c>
    </row>
    <row r="9" ht="20" customHeight="1">
      <c r="A9" s="23" t="n">
        <v>3</v>
      </c>
      <c r="B9" s="24" t="inlineStr">
        <is>
          <t>69319090023</t>
        </is>
      </c>
      <c r="C9" s="25" t="inlineStr">
        <is>
          <t>นายทักษดนย์  ชูชื่น</t>
        </is>
      </c>
      <c r="D9" s="26" t="n">
        <v>9</v>
      </c>
      <c r="E9" s="27">
        <f>ROUND((D9/10)*20, 2)</f>
        <v/>
      </c>
      <c r="F9" s="28">
        <f>'คะแนนดิบ'!Q8</f>
        <v/>
      </c>
      <c r="G9" s="27">
        <f>ROUND((F9/130)*50, 2)</f>
        <v/>
      </c>
      <c r="H9" s="28">
        <f>'คะแนนดิบ'!U8</f>
        <v/>
      </c>
      <c r="I9" s="27">
        <f>ROUND((H9/100)*10, 2)</f>
        <v/>
      </c>
      <c r="J9" s="28">
        <f>'คะแนนดิบ'!X8</f>
        <v/>
      </c>
      <c r="K9" s="27">
        <f>ROUND((J9/100)*20, 2)</f>
        <v/>
      </c>
      <c r="L9" s="27">
        <f>ROUND(E9+G9+I9+K9, 2)</f>
        <v/>
      </c>
      <c r="M9" s="29">
        <f>IF(L9&gt;=80, 4, IF(L9&gt;=75, 3.5, IF(L9&gt;=70, 3, IF(L9&gt;=65, 2.5, IF(L9&gt;=60, 2, IF(L9&gt;=55, 1.5, IF(L9&gt;=50, 1, 0)))))))</f>
        <v/>
      </c>
      <c r="N9" s="30">
        <f>IF(M9&gt;0, "ผ่าน", "ไม่ผ่าน")</f>
        <v/>
      </c>
    </row>
    <row r="10" ht="20" customHeight="1">
      <c r="A10" s="31" t="n">
        <v>4</v>
      </c>
      <c r="B10" s="32" t="inlineStr">
        <is>
          <t>69319090024</t>
        </is>
      </c>
      <c r="C10" s="33" t="inlineStr">
        <is>
          <t>นายทินภัทร  มะนาวหวาน</t>
        </is>
      </c>
      <c r="D10" s="34" t="n">
        <v>10</v>
      </c>
      <c r="E10" s="35">
        <f>ROUND((D10/10)*20, 2)</f>
        <v/>
      </c>
      <c r="F10" s="36">
        <f>'คะแนนดิบ'!Q9</f>
        <v/>
      </c>
      <c r="G10" s="35">
        <f>ROUND((F10/130)*50, 2)</f>
        <v/>
      </c>
      <c r="H10" s="36">
        <f>'คะแนนดิบ'!U9</f>
        <v/>
      </c>
      <c r="I10" s="35">
        <f>ROUND((H10/100)*10, 2)</f>
        <v/>
      </c>
      <c r="J10" s="36">
        <f>'คะแนนดิบ'!X9</f>
        <v/>
      </c>
      <c r="K10" s="35">
        <f>ROUND((J10/100)*20, 2)</f>
        <v/>
      </c>
      <c r="L10" s="35">
        <f>ROUND(E10+G10+I10+K10, 2)</f>
        <v/>
      </c>
      <c r="M10" s="37">
        <f>IF(L10&gt;=80, 4, IF(L10&gt;=75, 3.5, IF(L10&gt;=70, 3, IF(L10&gt;=65, 2.5, IF(L10&gt;=60, 2, IF(L10&gt;=55, 1.5, IF(L10&gt;=50, 1, 0)))))))</f>
        <v/>
      </c>
      <c r="N10" s="38">
        <f>IF(M10&gt;0, "ผ่าน", "ไม่ผ่าน")</f>
        <v/>
      </c>
    </row>
    <row r="11" ht="20" customHeight="1">
      <c r="A11" s="23" t="n">
        <v>5</v>
      </c>
      <c r="B11" s="24" t="inlineStr">
        <is>
          <t>69319090025</t>
        </is>
      </c>
      <c r="C11" s="25" t="inlineStr">
        <is>
          <t>นางสาวธันย์ชนก  ทับทิมทอง</t>
        </is>
      </c>
      <c r="D11" s="26" t="n">
        <v>10</v>
      </c>
      <c r="E11" s="27">
        <f>ROUND((D11/10)*20, 2)</f>
        <v/>
      </c>
      <c r="F11" s="28">
        <f>'คะแนนดิบ'!Q10</f>
        <v/>
      </c>
      <c r="G11" s="27">
        <f>ROUND((F11/130)*50, 2)</f>
        <v/>
      </c>
      <c r="H11" s="28">
        <f>'คะแนนดิบ'!U10</f>
        <v/>
      </c>
      <c r="I11" s="27">
        <f>ROUND((H11/100)*10, 2)</f>
        <v/>
      </c>
      <c r="J11" s="28">
        <f>'คะแนนดิบ'!X10</f>
        <v/>
      </c>
      <c r="K11" s="27">
        <f>ROUND((J11/100)*20, 2)</f>
        <v/>
      </c>
      <c r="L11" s="27">
        <f>ROUND(E11+G11+I11+K11, 2)</f>
        <v/>
      </c>
      <c r="M11" s="29">
        <f>IF(L11&gt;=80, 4, IF(L11&gt;=75, 3.5, IF(L11&gt;=70, 3, IF(L11&gt;=65, 2.5, IF(L11&gt;=60, 2, IF(L11&gt;=55, 1.5, IF(L11&gt;=50, 1, 0)))))))</f>
        <v/>
      </c>
      <c r="N11" s="30">
        <f>IF(M11&gt;0, "ผ่าน", "ไม่ผ่าน")</f>
        <v/>
      </c>
    </row>
    <row r="12" ht="20" customHeight="1">
      <c r="A12" s="31" t="n">
        <v>6</v>
      </c>
      <c r="B12" s="32" t="inlineStr">
        <is>
          <t>69319090026</t>
        </is>
      </c>
      <c r="C12" s="33" t="inlineStr">
        <is>
          <t>นายธีรพันธ์  เต็งน้อย</t>
        </is>
      </c>
      <c r="D12" s="34" t="n">
        <v>10</v>
      </c>
      <c r="E12" s="35">
        <f>ROUND((D12/10)*20, 2)</f>
        <v/>
      </c>
      <c r="F12" s="36">
        <f>'คะแนนดิบ'!Q11</f>
        <v/>
      </c>
      <c r="G12" s="35">
        <f>ROUND((F12/130)*50, 2)</f>
        <v/>
      </c>
      <c r="H12" s="36">
        <f>'คะแนนดิบ'!U11</f>
        <v/>
      </c>
      <c r="I12" s="35">
        <f>ROUND((H12/100)*10, 2)</f>
        <v/>
      </c>
      <c r="J12" s="36">
        <f>'คะแนนดิบ'!X11</f>
        <v/>
      </c>
      <c r="K12" s="35">
        <f>ROUND((J12/100)*20, 2)</f>
        <v/>
      </c>
      <c r="L12" s="35">
        <f>ROUND(E12+G12+I12+K12, 2)</f>
        <v/>
      </c>
      <c r="M12" s="37">
        <f>IF(L12&gt;=80, 4, IF(L12&gt;=75, 3.5, IF(L12&gt;=70, 3, IF(L12&gt;=65, 2.5, IF(L12&gt;=60, 2, IF(L12&gt;=55, 1.5, IF(L12&gt;=50, 1, 0)))))))</f>
        <v/>
      </c>
      <c r="N12" s="38">
        <f>IF(M12&gt;0, "ผ่าน", "ไม่ผ่าน")</f>
        <v/>
      </c>
    </row>
    <row r="13" ht="20" customHeight="1">
      <c r="A13" s="23" t="n">
        <v>7</v>
      </c>
      <c r="B13" s="24" t="inlineStr">
        <is>
          <t>69319090027</t>
        </is>
      </c>
      <c r="C13" s="25" t="inlineStr">
        <is>
          <t>นายนครินทร์  แก้วโสตย</t>
        </is>
      </c>
      <c r="D13" s="26" t="n">
        <v>9</v>
      </c>
      <c r="E13" s="27">
        <f>ROUND((D13/10)*20, 2)</f>
        <v/>
      </c>
      <c r="F13" s="28">
        <f>'คะแนนดิบ'!Q12</f>
        <v/>
      </c>
      <c r="G13" s="27">
        <f>ROUND((F13/130)*50, 2)</f>
        <v/>
      </c>
      <c r="H13" s="28">
        <f>'คะแนนดิบ'!U12</f>
        <v/>
      </c>
      <c r="I13" s="27">
        <f>ROUND((H13/100)*10, 2)</f>
        <v/>
      </c>
      <c r="J13" s="28">
        <f>'คะแนนดิบ'!X12</f>
        <v/>
      </c>
      <c r="K13" s="27">
        <f>ROUND((J13/100)*20, 2)</f>
        <v/>
      </c>
      <c r="L13" s="27">
        <f>ROUND(E13+G13+I13+K13, 2)</f>
        <v/>
      </c>
      <c r="M13" s="29">
        <f>IF(L13&gt;=80, 4, IF(L13&gt;=75, 3.5, IF(L13&gt;=70, 3, IF(L13&gt;=65, 2.5, IF(L13&gt;=60, 2, IF(L13&gt;=55, 1.5, IF(L13&gt;=50, 1, 0)))))))</f>
        <v/>
      </c>
      <c r="N13" s="30">
        <f>IF(M13&gt;0, "ผ่าน", "ไม่ผ่าน")</f>
        <v/>
      </c>
    </row>
    <row r="14" ht="20" customHeight="1">
      <c r="A14" s="31" t="n">
        <v>8</v>
      </c>
      <c r="B14" s="32" t="inlineStr">
        <is>
          <t>69319090028</t>
        </is>
      </c>
      <c r="C14" s="33" t="inlineStr">
        <is>
          <t>นายปัญญพัฒน์  บุญเกตุ</t>
        </is>
      </c>
      <c r="D14" s="34" t="n">
        <v>9</v>
      </c>
      <c r="E14" s="35">
        <f>ROUND((D14/10)*20, 2)</f>
        <v/>
      </c>
      <c r="F14" s="36">
        <f>'คะแนนดิบ'!Q13</f>
        <v/>
      </c>
      <c r="G14" s="35">
        <f>ROUND((F14/130)*50, 2)</f>
        <v/>
      </c>
      <c r="H14" s="36">
        <f>'คะแนนดิบ'!U13</f>
        <v/>
      </c>
      <c r="I14" s="35">
        <f>ROUND((H14/100)*10, 2)</f>
        <v/>
      </c>
      <c r="J14" s="36">
        <f>'คะแนนดิบ'!X13</f>
        <v/>
      </c>
      <c r="K14" s="35">
        <f>ROUND((J14/100)*20, 2)</f>
        <v/>
      </c>
      <c r="L14" s="35">
        <f>ROUND(E14+G14+I14+K14, 2)</f>
        <v/>
      </c>
      <c r="M14" s="37">
        <f>IF(L14&gt;=80, 4, IF(L14&gt;=75, 3.5, IF(L14&gt;=70, 3, IF(L14&gt;=65, 2.5, IF(L14&gt;=60, 2, IF(L14&gt;=55, 1.5, IF(L14&gt;=50, 1, 0)))))))</f>
        <v/>
      </c>
      <c r="N14" s="38">
        <f>IF(M14&gt;0, "ผ่าน", "ไม่ผ่าน")</f>
        <v/>
      </c>
    </row>
    <row r="15" ht="20" customHeight="1">
      <c r="A15" s="23" t="n">
        <v>9</v>
      </c>
      <c r="B15" s="24" t="inlineStr">
        <is>
          <t>69319090029</t>
        </is>
      </c>
      <c r="C15" s="25" t="inlineStr">
        <is>
          <t>นางสาวปิยธิดา  บุตรนิน</t>
        </is>
      </c>
      <c r="D15" s="26" t="n">
        <v>9</v>
      </c>
      <c r="E15" s="27">
        <f>ROUND((D15/10)*20, 2)</f>
        <v/>
      </c>
      <c r="F15" s="28">
        <f>'คะแนนดิบ'!Q14</f>
        <v/>
      </c>
      <c r="G15" s="27">
        <f>ROUND((F15/130)*50, 2)</f>
        <v/>
      </c>
      <c r="H15" s="28">
        <f>'คะแนนดิบ'!U14</f>
        <v/>
      </c>
      <c r="I15" s="27">
        <f>ROUND((H15/100)*10, 2)</f>
        <v/>
      </c>
      <c r="J15" s="28">
        <f>'คะแนนดิบ'!X14</f>
        <v/>
      </c>
      <c r="K15" s="27">
        <f>ROUND((J15/100)*20, 2)</f>
        <v/>
      </c>
      <c r="L15" s="27">
        <f>ROUND(E15+G15+I15+K15, 2)</f>
        <v/>
      </c>
      <c r="M15" s="29">
        <f>IF(L15&gt;=80, 4, IF(L15&gt;=75, 3.5, IF(L15&gt;=70, 3, IF(L15&gt;=65, 2.5, IF(L15&gt;=60, 2, IF(L15&gt;=55, 1.5, IF(L15&gt;=50, 1, 0)))))))</f>
        <v/>
      </c>
      <c r="N15" s="30">
        <f>IF(M15&gt;0, "ผ่าน", "ไม่ผ่าน")</f>
        <v/>
      </c>
    </row>
    <row r="16" ht="20" customHeight="1">
      <c r="A16" s="31" t="n">
        <v>10</v>
      </c>
      <c r="B16" s="32" t="inlineStr">
        <is>
          <t>69319090030</t>
        </is>
      </c>
      <c r="C16" s="33" t="inlineStr">
        <is>
          <t>นายพิทวัส  วงค์ตาเขียว</t>
        </is>
      </c>
      <c r="D16" s="34" t="n">
        <v>9</v>
      </c>
      <c r="E16" s="35">
        <f>ROUND((D16/10)*20, 2)</f>
        <v/>
      </c>
      <c r="F16" s="36">
        <f>'คะแนนดิบ'!Q15</f>
        <v/>
      </c>
      <c r="G16" s="35">
        <f>ROUND((F16/130)*50, 2)</f>
        <v/>
      </c>
      <c r="H16" s="36">
        <f>'คะแนนดิบ'!U15</f>
        <v/>
      </c>
      <c r="I16" s="35">
        <f>ROUND((H16/100)*10, 2)</f>
        <v/>
      </c>
      <c r="J16" s="36">
        <f>'คะแนนดิบ'!X15</f>
        <v/>
      </c>
      <c r="K16" s="35">
        <f>ROUND((J16/100)*20, 2)</f>
        <v/>
      </c>
      <c r="L16" s="35">
        <f>ROUND(E16+G16+I16+K16, 2)</f>
        <v/>
      </c>
      <c r="M16" s="37">
        <f>IF(L16&gt;=80, 4, IF(L16&gt;=75, 3.5, IF(L16&gt;=70, 3, IF(L16&gt;=65, 2.5, IF(L16&gt;=60, 2, IF(L16&gt;=55, 1.5, IF(L16&gt;=50, 1, 0)))))))</f>
        <v/>
      </c>
      <c r="N16" s="38">
        <f>IF(M16&gt;0, "ผ่าน", "ไม่ผ่าน")</f>
        <v/>
      </c>
    </row>
    <row r="17" ht="20" customHeight="1">
      <c r="A17" s="23" t="n">
        <v>11</v>
      </c>
      <c r="B17" s="24" t="inlineStr">
        <is>
          <t>69319090031</t>
        </is>
      </c>
      <c r="C17" s="25" t="inlineStr">
        <is>
          <t>นายพีรพัฒน์  พาหุรัตน์</t>
        </is>
      </c>
      <c r="D17" s="26" t="n">
        <v>9</v>
      </c>
      <c r="E17" s="27">
        <f>ROUND((D17/10)*20, 2)</f>
        <v/>
      </c>
      <c r="F17" s="28">
        <f>'คะแนนดิบ'!Q16</f>
        <v/>
      </c>
      <c r="G17" s="27">
        <f>ROUND((F17/130)*50, 2)</f>
        <v/>
      </c>
      <c r="H17" s="28">
        <f>'คะแนนดิบ'!U16</f>
        <v/>
      </c>
      <c r="I17" s="27">
        <f>ROUND((H17/100)*10, 2)</f>
        <v/>
      </c>
      <c r="J17" s="28">
        <f>'คะแนนดิบ'!X16</f>
        <v/>
      </c>
      <c r="K17" s="27">
        <f>ROUND((J17/100)*20, 2)</f>
        <v/>
      </c>
      <c r="L17" s="27">
        <f>ROUND(E17+G17+I17+K17, 2)</f>
        <v/>
      </c>
      <c r="M17" s="29">
        <f>IF(L17&gt;=80, 4, IF(L17&gt;=75, 3.5, IF(L17&gt;=70, 3, IF(L17&gt;=65, 2.5, IF(L17&gt;=60, 2, IF(L17&gt;=55, 1.5, IF(L17&gt;=50, 1, 0)))))))</f>
        <v/>
      </c>
      <c r="N17" s="30">
        <f>IF(M17&gt;0, "ผ่าน", "ไม่ผ่าน")</f>
        <v/>
      </c>
    </row>
    <row r="18" ht="20" customHeight="1">
      <c r="A18" s="31" t="n">
        <v>12</v>
      </c>
      <c r="B18" s="32" t="inlineStr">
        <is>
          <t>69319090032</t>
        </is>
      </c>
      <c r="C18" s="33" t="inlineStr">
        <is>
          <t>นายภาณุวัฒน์  ปั่นสันเที่ยะ</t>
        </is>
      </c>
      <c r="D18" s="34" t="n">
        <v>8</v>
      </c>
      <c r="E18" s="35">
        <f>ROUND((D18/10)*20, 2)</f>
        <v/>
      </c>
      <c r="F18" s="36">
        <f>'คะแนนดิบ'!Q17</f>
        <v/>
      </c>
      <c r="G18" s="35">
        <f>ROUND((F18/130)*50, 2)</f>
        <v/>
      </c>
      <c r="H18" s="36">
        <f>'คะแนนดิบ'!U17</f>
        <v/>
      </c>
      <c r="I18" s="35">
        <f>ROUND((H18/100)*10, 2)</f>
        <v/>
      </c>
      <c r="J18" s="36">
        <f>'คะแนนดิบ'!X17</f>
        <v/>
      </c>
      <c r="K18" s="35">
        <f>ROUND((J18/100)*20, 2)</f>
        <v/>
      </c>
      <c r="L18" s="35">
        <f>ROUND(E18+G18+I18+K18, 2)</f>
        <v/>
      </c>
      <c r="M18" s="37">
        <f>IF(L18&gt;=80, 4, IF(L18&gt;=75, 3.5, IF(L18&gt;=70, 3, IF(L18&gt;=65, 2.5, IF(L18&gt;=60, 2, IF(L18&gt;=55, 1.5, IF(L18&gt;=50, 1, 0)))))))</f>
        <v/>
      </c>
      <c r="N18" s="38">
        <f>IF(M18&gt;0, "ผ่าน", "ไม่ผ่าน")</f>
        <v/>
      </c>
    </row>
    <row r="19" ht="20" customHeight="1">
      <c r="A19" s="23" t="n">
        <v>13</v>
      </c>
      <c r="B19" s="24" t="inlineStr">
        <is>
          <t>69319090033</t>
        </is>
      </c>
      <c r="C19" s="25" t="inlineStr">
        <is>
          <t>นายภานุวัฒน์  ยิ้มพ่วง</t>
        </is>
      </c>
      <c r="D19" s="26" t="n">
        <v>9</v>
      </c>
      <c r="E19" s="27">
        <f>ROUND((D19/10)*20, 2)</f>
        <v/>
      </c>
      <c r="F19" s="28">
        <f>'คะแนนดิบ'!Q18</f>
        <v/>
      </c>
      <c r="G19" s="27">
        <f>ROUND((F19/130)*50, 2)</f>
        <v/>
      </c>
      <c r="H19" s="28">
        <f>'คะแนนดิบ'!U18</f>
        <v/>
      </c>
      <c r="I19" s="27">
        <f>ROUND((H19/100)*10, 2)</f>
        <v/>
      </c>
      <c r="J19" s="28">
        <f>'คะแนนดิบ'!X18</f>
        <v/>
      </c>
      <c r="K19" s="27">
        <f>ROUND((J19/100)*20, 2)</f>
        <v/>
      </c>
      <c r="L19" s="27">
        <f>ROUND(E19+G19+I19+K19, 2)</f>
        <v/>
      </c>
      <c r="M19" s="29">
        <f>IF(L19&gt;=80, 4, IF(L19&gt;=75, 3.5, IF(L19&gt;=70, 3, IF(L19&gt;=65, 2.5, IF(L19&gt;=60, 2, IF(L19&gt;=55, 1.5, IF(L19&gt;=50, 1, 0)))))))</f>
        <v/>
      </c>
      <c r="N19" s="30">
        <f>IF(M19&gt;0, "ผ่าน", "ไม่ผ่าน")</f>
        <v/>
      </c>
    </row>
    <row r="20" ht="20" customHeight="1">
      <c r="A20" s="31" t="n">
        <v>14</v>
      </c>
      <c r="B20" s="32" t="inlineStr">
        <is>
          <t>69319090034</t>
        </is>
      </c>
      <c r="C20" s="33" t="inlineStr">
        <is>
          <t>นายรชต  เปลี่ยนศรี</t>
        </is>
      </c>
      <c r="D20" s="34" t="n">
        <v>10</v>
      </c>
      <c r="E20" s="35">
        <f>ROUND((D20/10)*20, 2)</f>
        <v/>
      </c>
      <c r="F20" s="36">
        <f>'คะแนนดิบ'!Q19</f>
        <v/>
      </c>
      <c r="G20" s="35">
        <f>ROUND((F20/130)*50, 2)</f>
        <v/>
      </c>
      <c r="H20" s="36">
        <f>'คะแนนดิบ'!U19</f>
        <v/>
      </c>
      <c r="I20" s="35">
        <f>ROUND((H20/100)*10, 2)</f>
        <v/>
      </c>
      <c r="J20" s="36">
        <f>'คะแนนดิบ'!X19</f>
        <v/>
      </c>
      <c r="K20" s="35">
        <f>ROUND((J20/100)*20, 2)</f>
        <v/>
      </c>
      <c r="L20" s="35">
        <f>ROUND(E20+G20+I20+K20, 2)</f>
        <v/>
      </c>
      <c r="M20" s="37">
        <f>IF(L20&gt;=80, 4, IF(L20&gt;=75, 3.5, IF(L20&gt;=70, 3, IF(L20&gt;=65, 2.5, IF(L20&gt;=60, 2, IF(L20&gt;=55, 1.5, IF(L20&gt;=50, 1, 0)))))))</f>
        <v/>
      </c>
      <c r="N20" s="38">
        <f>IF(M20&gt;0, "ผ่าน", "ไม่ผ่าน")</f>
        <v/>
      </c>
    </row>
    <row r="21" ht="20" customHeight="1">
      <c r="A21" s="23" t="n">
        <v>15</v>
      </c>
      <c r="B21" s="24" t="inlineStr">
        <is>
          <t>69319090035</t>
        </is>
      </c>
      <c r="C21" s="25" t="inlineStr">
        <is>
          <t>นายศิรศักดิ์  ม่วงงาม</t>
        </is>
      </c>
      <c r="D21" s="26" t="n">
        <v>10</v>
      </c>
      <c r="E21" s="27">
        <f>ROUND((D21/10)*20, 2)</f>
        <v/>
      </c>
      <c r="F21" s="28">
        <f>'คะแนนดิบ'!Q20</f>
        <v/>
      </c>
      <c r="G21" s="27">
        <f>ROUND((F21/130)*50, 2)</f>
        <v/>
      </c>
      <c r="H21" s="28">
        <f>'คะแนนดิบ'!U20</f>
        <v/>
      </c>
      <c r="I21" s="27">
        <f>ROUND((H21/100)*10, 2)</f>
        <v/>
      </c>
      <c r="J21" s="28">
        <f>'คะแนนดิบ'!X20</f>
        <v/>
      </c>
      <c r="K21" s="27">
        <f>ROUND((J21/100)*20, 2)</f>
        <v/>
      </c>
      <c r="L21" s="27">
        <f>ROUND(E21+G21+I21+K21, 2)</f>
        <v/>
      </c>
      <c r="M21" s="29">
        <f>IF(L21&gt;=80, 4, IF(L21&gt;=75, 3.5, IF(L21&gt;=70, 3, IF(L21&gt;=65, 2.5, IF(L21&gt;=60, 2, IF(L21&gt;=55, 1.5, IF(L21&gt;=50, 1, 0)))))))</f>
        <v/>
      </c>
      <c r="N21" s="30">
        <f>IF(M21&gt;0, "ผ่าน", "ไม่ผ่าน")</f>
        <v/>
      </c>
    </row>
    <row r="22" ht="20" customHeight="1">
      <c r="A22" s="31" t="n">
        <v>16</v>
      </c>
      <c r="B22" s="32" t="inlineStr">
        <is>
          <t>69319090036</t>
        </is>
      </c>
      <c r="C22" s="33" t="inlineStr">
        <is>
          <t>นายศิวา  พุทธโชติ</t>
        </is>
      </c>
      <c r="D22" s="34" t="n">
        <v>10</v>
      </c>
      <c r="E22" s="35">
        <f>ROUND((D22/10)*20, 2)</f>
        <v/>
      </c>
      <c r="F22" s="36">
        <f>'คะแนนดิบ'!Q21</f>
        <v/>
      </c>
      <c r="G22" s="35">
        <f>ROUND((F22/130)*50, 2)</f>
        <v/>
      </c>
      <c r="H22" s="36">
        <f>'คะแนนดิบ'!U21</f>
        <v/>
      </c>
      <c r="I22" s="35">
        <f>ROUND((H22/100)*10, 2)</f>
        <v/>
      </c>
      <c r="J22" s="36">
        <f>'คะแนนดิบ'!X21</f>
        <v/>
      </c>
      <c r="K22" s="35">
        <f>ROUND((J22/100)*20, 2)</f>
        <v/>
      </c>
      <c r="L22" s="35">
        <f>ROUND(E22+G22+I22+K22, 2)</f>
        <v/>
      </c>
      <c r="M22" s="37">
        <f>IF(L22&gt;=80, 4, IF(L22&gt;=75, 3.5, IF(L22&gt;=70, 3, IF(L22&gt;=65, 2.5, IF(L22&gt;=60, 2, IF(L22&gt;=55, 1.5, IF(L22&gt;=50, 1, 0)))))))</f>
        <v/>
      </c>
      <c r="N22" s="38">
        <f>IF(M22&gt;0, "ผ่าน", "ไม่ผ่าน")</f>
        <v/>
      </c>
    </row>
    <row r="23" ht="20" customHeight="1">
      <c r="A23" s="23" t="n">
        <v>17</v>
      </c>
      <c r="B23" s="24" t="inlineStr">
        <is>
          <t>69319090037</t>
        </is>
      </c>
      <c r="C23" s="25" t="inlineStr">
        <is>
          <t>นายศุภกร  แสงจันทร์</t>
        </is>
      </c>
      <c r="D23" s="26" t="n">
        <v>10</v>
      </c>
      <c r="E23" s="27">
        <f>ROUND((D23/10)*20, 2)</f>
        <v/>
      </c>
      <c r="F23" s="28">
        <f>'คะแนนดิบ'!Q22</f>
        <v/>
      </c>
      <c r="G23" s="27">
        <f>ROUND((F23/130)*50, 2)</f>
        <v/>
      </c>
      <c r="H23" s="28">
        <f>'คะแนนดิบ'!U22</f>
        <v/>
      </c>
      <c r="I23" s="27">
        <f>ROUND((H23/100)*10, 2)</f>
        <v/>
      </c>
      <c r="J23" s="28">
        <f>'คะแนนดิบ'!X22</f>
        <v/>
      </c>
      <c r="K23" s="27">
        <f>ROUND((J23/100)*20, 2)</f>
        <v/>
      </c>
      <c r="L23" s="27">
        <f>ROUND(E23+G23+I23+K23, 2)</f>
        <v/>
      </c>
      <c r="M23" s="29">
        <f>IF(L23&gt;=80, 4, IF(L23&gt;=75, 3.5, IF(L23&gt;=70, 3, IF(L23&gt;=65, 2.5, IF(L23&gt;=60, 2, IF(L23&gt;=55, 1.5, IF(L23&gt;=50, 1, 0)))))))</f>
        <v/>
      </c>
      <c r="N23" s="30">
        <f>IF(M23&gt;0, "ผ่าน", "ไม่ผ่าน")</f>
        <v/>
      </c>
    </row>
    <row r="24" ht="20" customHeight="1">
      <c r="A24" s="31" t="n">
        <v>18</v>
      </c>
      <c r="B24" s="32" t="inlineStr">
        <is>
          <t>69319090038</t>
        </is>
      </c>
      <c r="C24" s="33" t="inlineStr">
        <is>
          <t>นางสาวโสธิตา  มีผล</t>
        </is>
      </c>
      <c r="D24" s="34" t="n">
        <v>8</v>
      </c>
      <c r="E24" s="35">
        <f>ROUND((D24/10)*20, 2)</f>
        <v/>
      </c>
      <c r="F24" s="36">
        <f>'คะแนนดิบ'!Q23</f>
        <v/>
      </c>
      <c r="G24" s="35">
        <f>ROUND((F24/130)*50, 2)</f>
        <v/>
      </c>
      <c r="H24" s="36">
        <f>'คะแนนดิบ'!U23</f>
        <v/>
      </c>
      <c r="I24" s="35">
        <f>ROUND((H24/100)*10, 2)</f>
        <v/>
      </c>
      <c r="J24" s="36">
        <f>'คะแนนดิบ'!X23</f>
        <v/>
      </c>
      <c r="K24" s="35">
        <f>ROUND((J24/100)*20, 2)</f>
        <v/>
      </c>
      <c r="L24" s="35">
        <f>ROUND(E24+G24+I24+K24, 2)</f>
        <v/>
      </c>
      <c r="M24" s="37">
        <f>IF(L24&gt;=80, 4, IF(L24&gt;=75, 3.5, IF(L24&gt;=70, 3, IF(L24&gt;=65, 2.5, IF(L24&gt;=60, 2, IF(L24&gt;=55, 1.5, IF(L24&gt;=50, 1, 0)))))))</f>
        <v/>
      </c>
      <c r="N24" s="38">
        <f>IF(M24&gt;0, "ผ่าน", "ไม่ผ่าน")</f>
        <v/>
      </c>
    </row>
    <row r="25" ht="20" customHeight="1">
      <c r="A25" s="23" t="n">
        <v>19</v>
      </c>
      <c r="B25" s="24" t="inlineStr">
        <is>
          <t>69319090039</t>
        </is>
      </c>
      <c r="C25" s="25" t="inlineStr">
        <is>
          <t>นายอนาวินทร์  แก้วเก้า</t>
        </is>
      </c>
      <c r="D25" s="26" t="n">
        <v>9</v>
      </c>
      <c r="E25" s="27">
        <f>ROUND((D25/10)*20, 2)</f>
        <v/>
      </c>
      <c r="F25" s="28">
        <f>'คะแนนดิบ'!Q24</f>
        <v/>
      </c>
      <c r="G25" s="27">
        <f>ROUND((F25/130)*50, 2)</f>
        <v/>
      </c>
      <c r="H25" s="28">
        <f>'คะแนนดิบ'!U24</f>
        <v/>
      </c>
      <c r="I25" s="27">
        <f>ROUND((H25/100)*10, 2)</f>
        <v/>
      </c>
      <c r="J25" s="28">
        <f>'คะแนนดิบ'!X24</f>
        <v/>
      </c>
      <c r="K25" s="27">
        <f>ROUND((J25/100)*20, 2)</f>
        <v/>
      </c>
      <c r="L25" s="27">
        <f>ROUND(E25+G25+I25+K25, 2)</f>
        <v/>
      </c>
      <c r="M25" s="29">
        <f>IF(L25&gt;=80, 4, IF(L25&gt;=75, 3.5, IF(L25&gt;=70, 3, IF(L25&gt;=65, 2.5, IF(L25&gt;=60, 2, IF(L25&gt;=55, 1.5, IF(L25&gt;=50, 1, 0)))))))</f>
        <v/>
      </c>
      <c r="N25" s="30">
        <f>IF(M25&gt;0, "ผ่าน", "ไม่ผ่าน")</f>
        <v/>
      </c>
    </row>
    <row r="26" ht="21" customHeight="1">
      <c r="A26" s="39" t="inlineStr">
        <is>
          <t>คะแนนเฉลี่ย</t>
        </is>
      </c>
      <c r="B26" s="40" t="n"/>
      <c r="C26" s="40" t="n"/>
      <c r="D26" s="41">
        <f>AVERAGE(D7:D25)</f>
        <v/>
      </c>
      <c r="E26" s="41">
        <f>AVERAGE(E7:E25)</f>
        <v/>
      </c>
      <c r="F26" s="41">
        <f>AVERAGE(F7:F25)</f>
        <v/>
      </c>
      <c r="G26" s="41">
        <f>AVERAGE(G7:G25)</f>
        <v/>
      </c>
      <c r="H26" s="41">
        <f>AVERAGE(H7:H25)</f>
        <v/>
      </c>
      <c r="I26" s="41">
        <f>AVERAGE(I7:I25)</f>
        <v/>
      </c>
      <c r="J26" s="41">
        <f>AVERAGE(J7:J25)</f>
        <v/>
      </c>
      <c r="K26" s="41">
        <f>AVERAGE(K7:K25)</f>
        <v/>
      </c>
      <c r="L26" s="41">
        <f>AVERAGE(L7:L25)</f>
        <v/>
      </c>
      <c r="M26" s="40" t="n"/>
      <c r="N26" s="40" t="n"/>
    </row>
    <row r="27" ht="21" customHeight="1">
      <c r="A27" s="39" t="inlineStr">
        <is>
          <t>คะแนนสูงสุด</t>
        </is>
      </c>
      <c r="B27" s="40" t="n"/>
      <c r="C27" s="40" t="n"/>
      <c r="D27" s="42">
        <f>MAX(D7:D25)</f>
        <v/>
      </c>
      <c r="E27" s="41">
        <f>MAX(E7:E25)</f>
        <v/>
      </c>
      <c r="F27" s="41">
        <f>MAX(F7:F25)</f>
        <v/>
      </c>
      <c r="G27" s="41">
        <f>MAX(G7:G25)</f>
        <v/>
      </c>
      <c r="H27" s="41">
        <f>MAX(H7:H25)</f>
        <v/>
      </c>
      <c r="I27" s="41">
        <f>MAX(I7:I25)</f>
        <v/>
      </c>
      <c r="J27" s="41">
        <f>MAX(J7:J25)</f>
        <v/>
      </c>
      <c r="K27" s="41">
        <f>MAX(K7:K25)</f>
        <v/>
      </c>
      <c r="L27" s="41">
        <f>MAX(L7:L25)</f>
        <v/>
      </c>
      <c r="M27" s="40" t="n"/>
      <c r="N27" s="40" t="n"/>
    </row>
    <row r="28" ht="21" customHeight="1">
      <c r="A28" s="43" t="inlineStr">
        <is>
          <t>คะแนนต่ำสุด</t>
        </is>
      </c>
      <c r="B28" s="44" t="n"/>
      <c r="C28" s="44" t="n"/>
      <c r="D28" s="45">
        <f>MIN(D7:D25)</f>
        <v/>
      </c>
      <c r="E28" s="46">
        <f>MIN(E7:E25)</f>
        <v/>
      </c>
      <c r="F28" s="46">
        <f>MIN(F7:F25)</f>
        <v/>
      </c>
      <c r="G28" s="46">
        <f>MIN(G7:G25)</f>
        <v/>
      </c>
      <c r="H28" s="46">
        <f>MIN(H7:H25)</f>
        <v/>
      </c>
      <c r="I28" s="46">
        <f>MIN(I7:I25)</f>
        <v/>
      </c>
      <c r="J28" s="46">
        <f>MIN(J7:J25)</f>
        <v/>
      </c>
      <c r="K28" s="46">
        <f>MIN(K7:K25)</f>
        <v/>
      </c>
      <c r="L28" s="46">
        <f>MIN(L7:L25)</f>
        <v/>
      </c>
      <c r="M28" s="44" t="n"/>
      <c r="N28" s="44" t="n"/>
    </row>
    <row r="31">
      <c r="C31" s="4" t="inlineStr">
        <is>
          <t>สรุปการกระจายระดับผลการเรียน (Grade Distribution)</t>
        </is>
      </c>
      <c r="D31" s="5" t="n"/>
      <c r="E31" s="5" t="n"/>
      <c r="F31" s="5" t="n"/>
    </row>
    <row r="32">
      <c r="C32" s="21" t="inlineStr">
        <is>
          <t>ระดับเกรด</t>
        </is>
      </c>
      <c r="D32" s="21" t="inlineStr">
        <is>
          <t>ช่วงคะแนน</t>
        </is>
      </c>
      <c r="E32" s="21" t="inlineStr">
        <is>
          <t>จำนวน (คน)</t>
        </is>
      </c>
      <c r="F32" s="21" t="inlineStr">
        <is>
          <t>ร้อยละ (%)</t>
        </is>
      </c>
    </row>
    <row r="33" ht="19" customHeight="1">
      <c r="C33" s="29" t="n">
        <v>4</v>
      </c>
      <c r="D33" s="23" t="inlineStr">
        <is>
          <t>80.00 - 100.00</t>
        </is>
      </c>
      <c r="E33" s="30">
        <f>COUNTIF(M$7:M$25, 4.0)</f>
        <v/>
      </c>
      <c r="F33" s="27">
        <f>ROUND((E33/19)*100, 2)</f>
        <v/>
      </c>
    </row>
    <row r="34" ht="19" customHeight="1">
      <c r="C34" s="37" t="n">
        <v>3.5</v>
      </c>
      <c r="D34" s="31" t="inlineStr">
        <is>
          <t>75.00 - 79.99</t>
        </is>
      </c>
      <c r="E34" s="38">
        <f>COUNTIF(M$7:M$25, 3.5)</f>
        <v/>
      </c>
      <c r="F34" s="35">
        <f>ROUND((E34/19)*100, 2)</f>
        <v/>
      </c>
    </row>
    <row r="35" ht="19" customHeight="1">
      <c r="C35" s="29" t="n">
        <v>3</v>
      </c>
      <c r="D35" s="23" t="inlineStr">
        <is>
          <t>70.00 - 74.99</t>
        </is>
      </c>
      <c r="E35" s="30">
        <f>COUNTIF(M$7:M$25, 3.0)</f>
        <v/>
      </c>
      <c r="F35" s="27">
        <f>ROUND((E35/19)*100, 2)</f>
        <v/>
      </c>
    </row>
    <row r="36" ht="19" customHeight="1">
      <c r="C36" s="37" t="n">
        <v>2.5</v>
      </c>
      <c r="D36" s="31" t="inlineStr">
        <is>
          <t>65.00 - 69.99</t>
        </is>
      </c>
      <c r="E36" s="38">
        <f>COUNTIF(M$7:M$25, 2.5)</f>
        <v/>
      </c>
      <c r="F36" s="35">
        <f>ROUND((E36/19)*100, 2)</f>
        <v/>
      </c>
    </row>
    <row r="37" ht="19" customHeight="1">
      <c r="C37" s="29" t="n">
        <v>2</v>
      </c>
      <c r="D37" s="23" t="inlineStr">
        <is>
          <t>60.00 - 64.99</t>
        </is>
      </c>
      <c r="E37" s="30">
        <f>COUNTIF(M$7:M$25, 2.0)</f>
        <v/>
      </c>
      <c r="F37" s="27">
        <f>ROUND((E37/19)*100, 2)</f>
        <v/>
      </c>
    </row>
    <row r="38" ht="19" customHeight="1">
      <c r="C38" s="37" t="n">
        <v>1.5</v>
      </c>
      <c r="D38" s="31" t="inlineStr">
        <is>
          <t>55.00 - 59.99</t>
        </is>
      </c>
      <c r="E38" s="38">
        <f>COUNTIF(M$7:M$25, 1.5)</f>
        <v/>
      </c>
      <c r="F38" s="35">
        <f>ROUND((E38/19)*100, 2)</f>
        <v/>
      </c>
    </row>
    <row r="39" ht="19" customHeight="1">
      <c r="C39" s="29" t="n">
        <v>1</v>
      </c>
      <c r="D39" s="23" t="inlineStr">
        <is>
          <t>50.00 - 54.99</t>
        </is>
      </c>
      <c r="E39" s="30">
        <f>COUNTIF(M$7:M$25, 1.0)</f>
        <v/>
      </c>
      <c r="F39" s="27">
        <f>ROUND((E39/19)*100, 2)</f>
        <v/>
      </c>
    </row>
    <row r="40" ht="19" customHeight="1">
      <c r="C40" s="37" t="n">
        <v>0</v>
      </c>
      <c r="D40" s="31" t="inlineStr">
        <is>
          <t>ต่ำกว่า 50.00</t>
        </is>
      </c>
      <c r="E40" s="38">
        <f>COUNTIF(M$7:M$25, 0.0)</f>
        <v/>
      </c>
      <c r="F40" s="35">
        <f>ROUND((E40/19)*100, 2)</f>
        <v/>
      </c>
    </row>
    <row r="41">
      <c r="C41" s="47" t="inlineStr">
        <is>
          <t>รวมทั้งหมด</t>
        </is>
      </c>
      <c r="D41" s="44" t="n"/>
      <c r="E41" s="48">
        <f>SUM(E33:E40)</f>
        <v/>
      </c>
      <c r="F41" s="49">
        <f>SUM(F33:F40)</f>
        <v/>
      </c>
    </row>
  </sheetData>
  <mergeCells count="14">
    <mergeCell ref="A28:C28"/>
    <mergeCell ref="A3:N3"/>
    <mergeCell ref="C31:F31"/>
    <mergeCell ref="A5:C5"/>
    <mergeCell ref="J5:K5"/>
    <mergeCell ref="A2:N2"/>
    <mergeCell ref="D5:E5"/>
    <mergeCell ref="F5:G5"/>
    <mergeCell ref="L5:N5"/>
    <mergeCell ref="C41:D41"/>
    <mergeCell ref="A27:C27"/>
    <mergeCell ref="H5:I5"/>
    <mergeCell ref="A26:C2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4" customWidth="1" min="17" max="17"/>
    <col width="13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</cols>
  <sheetData>
    <row r="1" ht="24" customHeight="1">
      <c r="A1" s="1" t="inlineStr">
        <is>
          <t>ตารางคะแนนดิบ: คะแนนเก็บตามภาระงาน และคะแนนสอบกลางภาค/ปลายภาค</t>
        </is>
      </c>
    </row>
    <row r="2" ht="18" customHeight="1">
      <c r="A2" s="2" t="inlineStr">
        <is>
          <t>วิชา การสร้างเว็บไซต์และระบบฐานข้อมูล (31909-0003) | ปวส.1 เทคโนโลยีคอมพิวเตอร์ (กลุ่ม 1 สทค 2 (ม.6)) | ภาคเรียนที่ 1/2569</t>
        </is>
      </c>
    </row>
    <row r="3" ht="8" customHeight="1"/>
    <row r="4" ht="24" customHeight="1">
      <c r="A4" s="4" t="inlineStr">
        <is>
          <t>ข้อมูลนักศึกษา</t>
        </is>
      </c>
      <c r="B4" s="5" t="n"/>
      <c r="C4" s="5" t="n"/>
      <c r="D4" s="8" t="inlineStr">
        <is>
          <t>คะแนนเก็บตามภาระงาน (Assignment 1 - 13 | เต็ม 130 คะแนน)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inlineStr">
        <is>
          <t>สอบกลางภาค (เต็ม 100 คะแนน)</t>
        </is>
      </c>
      <c r="T4" s="11" t="n"/>
      <c r="U4" s="11" t="n"/>
      <c r="V4" s="12" t="inlineStr">
        <is>
          <t>สอบปลายภาค (เต็ม 100 คะแนน)</t>
        </is>
      </c>
      <c r="W4" s="13" t="n"/>
      <c r="X4" s="13" t="n"/>
    </row>
    <row r="5" ht="38" customHeight="1">
      <c r="A5" s="16" t="inlineStr">
        <is>
          <t>ลำดับที่</t>
        </is>
      </c>
      <c r="B5" s="16" t="inlineStr">
        <is>
          <t>รหัสนักศึกษา</t>
        </is>
      </c>
      <c r="C5" s="16" t="inlineStr">
        <is>
          <t>ชื่อ - สกุล</t>
        </is>
      </c>
      <c r="D5" s="18" t="inlineStr">
        <is>
          <t>Assignment 1
Basic HTML
(10)</t>
        </is>
      </c>
      <c r="E5" s="18" t="inlineStr">
        <is>
          <t>Assignment 2
Basic HTML 2
(10)</t>
        </is>
      </c>
      <c r="F5" s="18" t="inlineStr">
        <is>
          <t>Assignment 3
Basic CSS
(10)</t>
        </is>
      </c>
      <c r="G5" s="18" t="inlineStr">
        <is>
          <t>Assignment 4
Colspan + Rowspan
(10)</t>
        </is>
      </c>
      <c r="H5" s="18" t="inlineStr">
        <is>
          <t>Assignment 5
HTML Form
(10)</t>
        </is>
      </c>
      <c r="I5" s="18" t="inlineStr">
        <is>
          <t>Assignment 6
CSS Boxmodel
(10)</t>
        </is>
      </c>
      <c r="J5" s="18" t="inlineStr">
        <is>
          <t>Assignment 7
CSS Flexbox
(10)</t>
        </is>
      </c>
      <c r="K5" s="18" t="inlineStr">
        <is>
          <t>Assignment 8
PHP Operator 1
(10)</t>
        </is>
      </c>
      <c r="L5" s="18" t="inlineStr">
        <is>
          <t>Assignment 9
PHP Conditional
(10)</t>
        </is>
      </c>
      <c r="M5" s="18" t="inlineStr">
        <is>
          <t>Assignment 10
Arrays foreach Loop
(10)</t>
        </is>
      </c>
      <c r="N5" s="18" t="inlineStr">
        <is>
          <t>Assignment 11
Functions Modular
(10)</t>
        </is>
      </c>
      <c r="O5" s="18" t="inlineStr">
        <is>
          <t>Assignment 12
Form Validation
(10)</t>
        </is>
      </c>
      <c r="P5" s="18" t="inlineStr">
        <is>
          <t>Assignment 13
ขึ้นระบบ Server
(10)</t>
        </is>
      </c>
      <c r="Q5" s="16" t="inlineStr">
        <is>
          <t>รวมงาน
(130)</t>
        </is>
      </c>
      <c r="R5" s="16" t="inlineStr">
        <is>
          <t>ร้อยละ
(%)</t>
        </is>
      </c>
      <c r="S5" s="19" t="inlineStr">
        <is>
          <t>ข้อกา
ปรนัย (40)</t>
        </is>
      </c>
      <c r="T5" s="19" t="inlineStr">
        <is>
          <t>ข้อเขียน
อัตนัย (60)</t>
        </is>
      </c>
      <c r="U5" s="16" t="inlineStr">
        <is>
          <t>รวมกลางภาค
(100)</t>
        </is>
      </c>
      <c r="V5" s="20" t="inlineStr">
        <is>
          <t>ข้อกา
ปรนัย (40)</t>
        </is>
      </c>
      <c r="W5" s="20" t="inlineStr">
        <is>
          <t>ข้อเขียน
อัตนัย (60)</t>
        </is>
      </c>
      <c r="X5" s="16" t="inlineStr">
        <is>
          <t>รวมปลายภาค
(100)</t>
        </is>
      </c>
    </row>
    <row r="6" ht="20" customHeight="1">
      <c r="A6" s="23" t="n">
        <v>1</v>
      </c>
      <c r="B6" s="24" t="inlineStr">
        <is>
          <t>69319090021</t>
        </is>
      </c>
      <c r="C6" s="25" t="inlineStr">
        <is>
          <t>นางสาวกาญจน์เกล้า  แซ่ลิ้ม</t>
        </is>
      </c>
      <c r="D6" s="26" t="n">
        <v>10</v>
      </c>
      <c r="E6" s="26" t="n">
        <v>10</v>
      </c>
      <c r="F6" s="26" t="n">
        <v>10</v>
      </c>
      <c r="G6" s="26" t="n">
        <v>10</v>
      </c>
      <c r="H6" s="26" t="n">
        <v>10</v>
      </c>
      <c r="I6" s="26" t="n">
        <v>10</v>
      </c>
      <c r="J6" s="26" t="n">
        <v>10</v>
      </c>
      <c r="K6" s="26" t="n">
        <v>10</v>
      </c>
      <c r="L6" s="26" t="n">
        <v>10</v>
      </c>
      <c r="M6" s="26" t="n">
        <v>10</v>
      </c>
      <c r="N6" s="26" t="n">
        <v>10</v>
      </c>
      <c r="O6" s="26" t="n">
        <v>10</v>
      </c>
      <c r="P6" s="26" t="n">
        <v>10</v>
      </c>
      <c r="Q6" s="50">
        <f>SUM(D6:P6)</f>
        <v/>
      </c>
      <c r="R6" s="27">
        <f>ROUND((Q6/130)*100, 2)</f>
        <v/>
      </c>
      <c r="S6" s="26" t="n">
        <v>22</v>
      </c>
      <c r="T6" s="26" t="n">
        <v>22</v>
      </c>
      <c r="U6" s="50">
        <f>SUM(S6:T6)</f>
        <v/>
      </c>
      <c r="V6" s="26" t="n">
        <v>24</v>
      </c>
      <c r="W6" s="26" t="n">
        <v>5</v>
      </c>
      <c r="X6" s="50">
        <f>SUM(V6:W6)</f>
        <v/>
      </c>
    </row>
    <row r="7" ht="20" customHeight="1">
      <c r="A7" s="31" t="n">
        <v>2</v>
      </c>
      <c r="B7" s="32" t="inlineStr">
        <is>
          <t>69319090022</t>
        </is>
      </c>
      <c r="C7" s="33" t="inlineStr">
        <is>
          <t>นางสาวฐิติพร  เจริญสลุง</t>
        </is>
      </c>
      <c r="D7" s="34" t="n">
        <v>10</v>
      </c>
      <c r="E7" s="34" t="n">
        <v>10</v>
      </c>
      <c r="F7" s="34" t="n">
        <v>10</v>
      </c>
      <c r="G7" s="34" t="n">
        <v>10</v>
      </c>
      <c r="H7" s="34" t="n">
        <v>10</v>
      </c>
      <c r="I7" s="34" t="n">
        <v>10</v>
      </c>
      <c r="J7" s="34" t="n">
        <v>10</v>
      </c>
      <c r="K7" s="34" t="n">
        <v>10</v>
      </c>
      <c r="L7" s="34" t="n">
        <v>10</v>
      </c>
      <c r="M7" s="34" t="n">
        <v>10</v>
      </c>
      <c r="N7" s="34" t="n">
        <v>10</v>
      </c>
      <c r="O7" s="34" t="n">
        <v>10</v>
      </c>
      <c r="P7" s="51" t="n">
        <v>0</v>
      </c>
      <c r="Q7" s="52">
        <f>SUM(D7:P7)</f>
        <v/>
      </c>
      <c r="R7" s="35">
        <f>ROUND((Q7/130)*100, 2)</f>
        <v/>
      </c>
      <c r="S7" s="34" t="n">
        <v>17</v>
      </c>
      <c r="T7" s="34" t="n">
        <v>20</v>
      </c>
      <c r="U7" s="52">
        <f>SUM(S7:T7)</f>
        <v/>
      </c>
      <c r="V7" s="34" t="n">
        <v>24</v>
      </c>
      <c r="W7" s="34" t="n">
        <v>30</v>
      </c>
      <c r="X7" s="52">
        <f>SUM(V7:W7)</f>
        <v/>
      </c>
    </row>
    <row r="8" ht="20" customHeight="1">
      <c r="A8" s="23" t="n">
        <v>3</v>
      </c>
      <c r="B8" s="24" t="inlineStr">
        <is>
          <t>69319090023</t>
        </is>
      </c>
      <c r="C8" s="25" t="inlineStr">
        <is>
          <t>นายทักษดนย์  ชูชื่น</t>
        </is>
      </c>
      <c r="D8" s="26" t="n">
        <v>10</v>
      </c>
      <c r="E8" s="26" t="n">
        <v>10</v>
      </c>
      <c r="F8" s="26" t="n">
        <v>10</v>
      </c>
      <c r="G8" s="26" t="n">
        <v>10</v>
      </c>
      <c r="H8" s="51" t="n">
        <v>0</v>
      </c>
      <c r="I8" s="26" t="n">
        <v>10</v>
      </c>
      <c r="J8" s="51" t="n">
        <v>0</v>
      </c>
      <c r="K8" s="51" t="n">
        <v>0</v>
      </c>
      <c r="L8" s="26" t="n">
        <v>10</v>
      </c>
      <c r="M8" s="26" t="n">
        <v>10</v>
      </c>
      <c r="N8" s="51" t="n">
        <v>0</v>
      </c>
      <c r="O8" s="51" t="n">
        <v>0</v>
      </c>
      <c r="P8" s="51" t="n">
        <v>0</v>
      </c>
      <c r="Q8" s="50">
        <f>SUM(D8:P8)</f>
        <v/>
      </c>
      <c r="R8" s="27">
        <f>ROUND((Q8/130)*100, 2)</f>
        <v/>
      </c>
      <c r="S8" s="26" t="n">
        <v>12</v>
      </c>
      <c r="T8" s="26" t="n">
        <v>5</v>
      </c>
      <c r="U8" s="50">
        <f>SUM(S8:T8)</f>
        <v/>
      </c>
      <c r="V8" s="26" t="n">
        <v>17</v>
      </c>
      <c r="W8" s="26" t="n">
        <v>10</v>
      </c>
      <c r="X8" s="50">
        <f>SUM(V8:W8)</f>
        <v/>
      </c>
    </row>
    <row r="9" ht="20" customHeight="1">
      <c r="A9" s="31" t="n">
        <v>4</v>
      </c>
      <c r="B9" s="32" t="inlineStr">
        <is>
          <t>69319090024</t>
        </is>
      </c>
      <c r="C9" s="33" t="inlineStr">
        <is>
          <t>นายทินภัทร  มะนาวหวาน</t>
        </is>
      </c>
      <c r="D9" s="34" t="n">
        <v>10</v>
      </c>
      <c r="E9" s="34" t="n">
        <v>10</v>
      </c>
      <c r="F9" s="34" t="n">
        <v>10</v>
      </c>
      <c r="G9" s="34" t="n">
        <v>10</v>
      </c>
      <c r="H9" s="34" t="n">
        <v>10</v>
      </c>
      <c r="I9" s="34" t="n">
        <v>10</v>
      </c>
      <c r="J9" s="34" t="n">
        <v>10</v>
      </c>
      <c r="K9" s="34" t="n">
        <v>10</v>
      </c>
      <c r="L9" s="34" t="n">
        <v>10</v>
      </c>
      <c r="M9" s="34" t="n">
        <v>10</v>
      </c>
      <c r="N9" s="34" t="n">
        <v>10</v>
      </c>
      <c r="O9" s="34" t="n">
        <v>10</v>
      </c>
      <c r="P9" s="34" t="n">
        <v>10</v>
      </c>
      <c r="Q9" s="52">
        <f>SUM(D9:P9)</f>
        <v/>
      </c>
      <c r="R9" s="35">
        <f>ROUND((Q9/130)*100, 2)</f>
        <v/>
      </c>
      <c r="S9" s="34" t="n">
        <v>27</v>
      </c>
      <c r="T9" s="34" t="n">
        <v>30</v>
      </c>
      <c r="U9" s="52">
        <f>SUM(S9:T9)</f>
        <v/>
      </c>
      <c r="V9" s="34" t="n">
        <v>20</v>
      </c>
      <c r="W9" s="34" t="n">
        <v>13</v>
      </c>
      <c r="X9" s="52">
        <f>SUM(V9:W9)</f>
        <v/>
      </c>
    </row>
    <row r="10" ht="20" customHeight="1">
      <c r="A10" s="23" t="n">
        <v>5</v>
      </c>
      <c r="B10" s="24" t="inlineStr">
        <is>
          <t>69319090025</t>
        </is>
      </c>
      <c r="C10" s="25" t="inlineStr">
        <is>
          <t>นางสาวธันย์ชนก  ทับทิมทอง</t>
        </is>
      </c>
      <c r="D10" s="26" t="n">
        <v>10</v>
      </c>
      <c r="E10" s="51" t="n">
        <v>0</v>
      </c>
      <c r="F10" s="26" t="n">
        <v>10</v>
      </c>
      <c r="G10" s="26" t="n">
        <v>10</v>
      </c>
      <c r="H10" s="26" t="n">
        <v>10</v>
      </c>
      <c r="I10" s="26" t="n">
        <v>10</v>
      </c>
      <c r="J10" s="51" t="n">
        <v>0</v>
      </c>
      <c r="K10" s="51" t="n">
        <v>0</v>
      </c>
      <c r="L10" s="26" t="n">
        <v>10</v>
      </c>
      <c r="M10" s="51" t="n">
        <v>0</v>
      </c>
      <c r="N10" s="51" t="n">
        <v>0</v>
      </c>
      <c r="O10" s="51" t="n">
        <v>0</v>
      </c>
      <c r="P10" s="51" t="n">
        <v>0</v>
      </c>
      <c r="Q10" s="50">
        <f>SUM(D10:P10)</f>
        <v/>
      </c>
      <c r="R10" s="27">
        <f>ROUND((Q10/130)*100, 2)</f>
        <v/>
      </c>
      <c r="S10" s="26" t="n">
        <v>14</v>
      </c>
      <c r="T10" s="26" t="n">
        <v>5</v>
      </c>
      <c r="U10" s="50">
        <f>SUM(S10:T10)</f>
        <v/>
      </c>
      <c r="V10" s="26" t="n">
        <v>17</v>
      </c>
      <c r="W10" s="26" t="n">
        <v>18</v>
      </c>
      <c r="X10" s="50">
        <f>SUM(V10:W10)</f>
        <v/>
      </c>
    </row>
    <row r="11" ht="20" customHeight="1">
      <c r="A11" s="31" t="n">
        <v>6</v>
      </c>
      <c r="B11" s="32" t="inlineStr">
        <is>
          <t>69319090026</t>
        </is>
      </c>
      <c r="C11" s="33" t="inlineStr">
        <is>
          <t>นายธีรพันธ์  เต็งน้อย</t>
        </is>
      </c>
      <c r="D11" s="34" t="n">
        <v>10</v>
      </c>
      <c r="E11" s="34" t="n">
        <v>10</v>
      </c>
      <c r="F11" s="34" t="n">
        <v>10</v>
      </c>
      <c r="G11" s="34" t="n">
        <v>10</v>
      </c>
      <c r="H11" s="34" t="n">
        <v>10</v>
      </c>
      <c r="I11" s="34" t="n">
        <v>10</v>
      </c>
      <c r="J11" s="34" t="n">
        <v>10</v>
      </c>
      <c r="K11" s="34" t="n">
        <v>10</v>
      </c>
      <c r="L11" s="34" t="n">
        <v>10</v>
      </c>
      <c r="M11" s="34" t="n">
        <v>10</v>
      </c>
      <c r="N11" s="34" t="n">
        <v>10</v>
      </c>
      <c r="O11" s="34" t="n">
        <v>10</v>
      </c>
      <c r="P11" s="34" t="n">
        <v>10</v>
      </c>
      <c r="Q11" s="52">
        <f>SUM(D11:P11)</f>
        <v/>
      </c>
      <c r="R11" s="35">
        <f>ROUND((Q11/130)*100, 2)</f>
        <v/>
      </c>
      <c r="S11" s="34" t="n">
        <v>18</v>
      </c>
      <c r="T11" s="34" t="n">
        <v>15</v>
      </c>
      <c r="U11" s="52">
        <f>SUM(S11:T11)</f>
        <v/>
      </c>
      <c r="V11" s="34" t="n">
        <v>17</v>
      </c>
      <c r="W11" s="34" t="n">
        <v>33</v>
      </c>
      <c r="X11" s="52">
        <f>SUM(V11:W11)</f>
        <v/>
      </c>
    </row>
    <row r="12" ht="20" customHeight="1">
      <c r="A12" s="23" t="n">
        <v>7</v>
      </c>
      <c r="B12" s="24" t="inlineStr">
        <is>
          <t>69319090027</t>
        </is>
      </c>
      <c r="C12" s="25" t="inlineStr">
        <is>
          <t>นายนครินทร์  แก้วโสตย</t>
        </is>
      </c>
      <c r="D12" s="26" t="n">
        <v>10</v>
      </c>
      <c r="E12" s="26" t="n">
        <v>10</v>
      </c>
      <c r="F12" s="26" t="n">
        <v>10</v>
      </c>
      <c r="G12" s="26" t="n">
        <v>10</v>
      </c>
      <c r="H12" s="26" t="n">
        <v>10</v>
      </c>
      <c r="I12" s="26" t="n">
        <v>10</v>
      </c>
      <c r="J12" s="26" t="n">
        <v>10</v>
      </c>
      <c r="K12" s="26" t="n">
        <v>10</v>
      </c>
      <c r="L12" s="26" t="n">
        <v>10</v>
      </c>
      <c r="M12" s="51" t="n">
        <v>0</v>
      </c>
      <c r="N12" s="51" t="n">
        <v>0</v>
      </c>
      <c r="O12" s="51" t="n">
        <v>0</v>
      </c>
      <c r="P12" s="51" t="n">
        <v>0</v>
      </c>
      <c r="Q12" s="50">
        <f>SUM(D12:P12)</f>
        <v/>
      </c>
      <c r="R12" s="27">
        <f>ROUND((Q12/130)*100, 2)</f>
        <v/>
      </c>
      <c r="S12" s="26" t="n">
        <v>24</v>
      </c>
      <c r="T12" s="26" t="n">
        <v>28</v>
      </c>
      <c r="U12" s="50">
        <f>SUM(S12:T12)</f>
        <v/>
      </c>
      <c r="V12" s="26" t="n">
        <v>19</v>
      </c>
      <c r="W12" s="26" t="n">
        <v>25</v>
      </c>
      <c r="X12" s="50">
        <f>SUM(V12:W12)</f>
        <v/>
      </c>
    </row>
    <row r="13" ht="20" customHeight="1">
      <c r="A13" s="31" t="n">
        <v>8</v>
      </c>
      <c r="B13" s="32" t="inlineStr">
        <is>
          <t>69319090028</t>
        </is>
      </c>
      <c r="C13" s="33" t="inlineStr">
        <is>
          <t>นายปัญญพัฒน์  บุญเกตุ</t>
        </is>
      </c>
      <c r="D13" s="34" t="n">
        <v>10</v>
      </c>
      <c r="E13" s="34" t="n">
        <v>10</v>
      </c>
      <c r="F13" s="34" t="n">
        <v>10</v>
      </c>
      <c r="G13" s="51" t="n">
        <v>0</v>
      </c>
      <c r="H13" s="34" t="n">
        <v>10</v>
      </c>
      <c r="I13" s="34" t="n">
        <v>10</v>
      </c>
      <c r="J13" s="34" t="n">
        <v>10</v>
      </c>
      <c r="K13" s="51" t="n">
        <v>0</v>
      </c>
      <c r="L13" s="34" t="n">
        <v>10</v>
      </c>
      <c r="M13" s="51" t="n">
        <v>0</v>
      </c>
      <c r="N13" s="51" t="n">
        <v>0</v>
      </c>
      <c r="O13" s="51" t="n">
        <v>0</v>
      </c>
      <c r="P13" s="34" t="n">
        <v>10</v>
      </c>
      <c r="Q13" s="52">
        <f>SUM(D13:P13)</f>
        <v/>
      </c>
      <c r="R13" s="35">
        <f>ROUND((Q13/130)*100, 2)</f>
        <v/>
      </c>
      <c r="S13" s="34" t="n">
        <v>17</v>
      </c>
      <c r="T13" s="34" t="n">
        <v>25</v>
      </c>
      <c r="U13" s="52">
        <f>SUM(S13:T13)</f>
        <v/>
      </c>
      <c r="V13" s="34" t="n">
        <v>16</v>
      </c>
      <c r="W13" s="34" t="n">
        <v>8</v>
      </c>
      <c r="X13" s="52">
        <f>SUM(V13:W13)</f>
        <v/>
      </c>
    </row>
    <row r="14" ht="20" customHeight="1">
      <c r="A14" s="23" t="n">
        <v>9</v>
      </c>
      <c r="B14" s="24" t="inlineStr">
        <is>
          <t>69319090029</t>
        </is>
      </c>
      <c r="C14" s="25" t="inlineStr">
        <is>
          <t>นางสาวปิยธิดา  บุตรนิน</t>
        </is>
      </c>
      <c r="D14" s="26" t="n">
        <v>10</v>
      </c>
      <c r="E14" s="26" t="n">
        <v>10</v>
      </c>
      <c r="F14" s="26" t="n">
        <v>10</v>
      </c>
      <c r="G14" s="26" t="n">
        <v>10</v>
      </c>
      <c r="H14" s="51" t="n">
        <v>0</v>
      </c>
      <c r="I14" s="51" t="n">
        <v>0</v>
      </c>
      <c r="J14" s="51" t="n">
        <v>0</v>
      </c>
      <c r="K14" s="26" t="n">
        <v>10</v>
      </c>
      <c r="L14" s="51" t="n">
        <v>0</v>
      </c>
      <c r="M14" s="26" t="n">
        <v>10</v>
      </c>
      <c r="N14" s="51" t="n">
        <v>0</v>
      </c>
      <c r="O14" s="51" t="n">
        <v>0</v>
      </c>
      <c r="P14" s="51" t="n">
        <v>0</v>
      </c>
      <c r="Q14" s="50">
        <f>SUM(D14:P14)</f>
        <v/>
      </c>
      <c r="R14" s="27">
        <f>ROUND((Q14/130)*100, 2)</f>
        <v/>
      </c>
      <c r="S14" s="26" t="n">
        <v>10</v>
      </c>
      <c r="T14" s="26" t="n">
        <v>15</v>
      </c>
      <c r="U14" s="50">
        <f>SUM(S14:T14)</f>
        <v/>
      </c>
      <c r="V14" s="26" t="n">
        <v>12</v>
      </c>
      <c r="W14" s="26" t="n">
        <v>22</v>
      </c>
      <c r="X14" s="50">
        <f>SUM(V14:W14)</f>
        <v/>
      </c>
    </row>
    <row r="15" ht="20" customHeight="1">
      <c r="A15" s="31" t="n">
        <v>10</v>
      </c>
      <c r="B15" s="32" t="inlineStr">
        <is>
          <t>69319090030</t>
        </is>
      </c>
      <c r="C15" s="33" t="inlineStr">
        <is>
          <t>นายพิทวัส  วงค์ตาเขียว</t>
        </is>
      </c>
      <c r="D15" s="34" t="n">
        <v>10</v>
      </c>
      <c r="E15" s="51" t="n">
        <v>0</v>
      </c>
      <c r="F15" s="34" t="n">
        <v>10</v>
      </c>
      <c r="G15" s="34" t="n">
        <v>10</v>
      </c>
      <c r="H15" s="34" t="n">
        <v>10</v>
      </c>
      <c r="I15" s="34" t="n">
        <v>10</v>
      </c>
      <c r="J15" s="34" t="n">
        <v>10</v>
      </c>
      <c r="K15" s="51" t="n">
        <v>0</v>
      </c>
      <c r="L15" s="34" t="n">
        <v>10</v>
      </c>
      <c r="M15" s="34" t="n">
        <v>10</v>
      </c>
      <c r="N15" s="34" t="n">
        <v>10</v>
      </c>
      <c r="O15" s="34" t="n">
        <v>10</v>
      </c>
      <c r="P15" s="51" t="n">
        <v>0</v>
      </c>
      <c r="Q15" s="52">
        <f>SUM(D15:P15)</f>
        <v/>
      </c>
      <c r="R15" s="35">
        <f>ROUND((Q15/130)*100, 2)</f>
        <v/>
      </c>
      <c r="S15" s="34" t="n">
        <v>15</v>
      </c>
      <c r="T15" s="34" t="n">
        <v>13</v>
      </c>
      <c r="U15" s="52">
        <f>SUM(S15:T15)</f>
        <v/>
      </c>
      <c r="V15" s="34" t="n">
        <v>15</v>
      </c>
      <c r="W15" s="34" t="n">
        <v>3</v>
      </c>
      <c r="X15" s="52">
        <f>SUM(V15:W15)</f>
        <v/>
      </c>
    </row>
    <row r="16" ht="20" customHeight="1">
      <c r="A16" s="23" t="n">
        <v>11</v>
      </c>
      <c r="B16" s="24" t="inlineStr">
        <is>
          <t>69319090031</t>
        </is>
      </c>
      <c r="C16" s="25" t="inlineStr">
        <is>
          <t>นายพีรพัฒน์  พาหุรัตน์</t>
        </is>
      </c>
      <c r="D16" s="26" t="n">
        <v>10</v>
      </c>
      <c r="E16" s="26" t="n">
        <v>10</v>
      </c>
      <c r="F16" s="26" t="n">
        <v>10</v>
      </c>
      <c r="G16" s="26" t="n">
        <v>10</v>
      </c>
      <c r="H16" s="26" t="n">
        <v>10</v>
      </c>
      <c r="I16" s="26" t="n">
        <v>10</v>
      </c>
      <c r="J16" s="51" t="n">
        <v>0</v>
      </c>
      <c r="K16" s="51" t="n">
        <v>0</v>
      </c>
      <c r="L16" s="51" t="n">
        <v>0</v>
      </c>
      <c r="M16" s="51" t="n">
        <v>0</v>
      </c>
      <c r="N16" s="51" t="n">
        <v>0</v>
      </c>
      <c r="O16" s="51" t="n">
        <v>0</v>
      </c>
      <c r="P16" s="51" t="n">
        <v>0</v>
      </c>
      <c r="Q16" s="50">
        <f>SUM(D16:P16)</f>
        <v/>
      </c>
      <c r="R16" s="27">
        <f>ROUND((Q16/130)*100, 2)</f>
        <v/>
      </c>
      <c r="S16" s="26" t="n">
        <v>17</v>
      </c>
      <c r="T16" s="26" t="n">
        <v>10</v>
      </c>
      <c r="U16" s="50">
        <f>SUM(S16:T16)</f>
        <v/>
      </c>
      <c r="V16" s="26" t="n">
        <v>19</v>
      </c>
      <c r="W16" s="26" t="n">
        <v>15</v>
      </c>
      <c r="X16" s="50">
        <f>SUM(V16:W16)</f>
        <v/>
      </c>
    </row>
    <row r="17" ht="20" customHeight="1">
      <c r="A17" s="31" t="n">
        <v>12</v>
      </c>
      <c r="B17" s="32" t="inlineStr">
        <is>
          <t>69319090032</t>
        </is>
      </c>
      <c r="C17" s="33" t="inlineStr">
        <is>
          <t>นายภาณุวัฒน์  ปั่นสันเที่ยะ</t>
        </is>
      </c>
      <c r="D17" s="34" t="n">
        <v>10</v>
      </c>
      <c r="E17" s="34" t="n">
        <v>10</v>
      </c>
      <c r="F17" s="34" t="n">
        <v>10</v>
      </c>
      <c r="G17" s="34" t="n">
        <v>10</v>
      </c>
      <c r="H17" s="34" t="n">
        <v>10</v>
      </c>
      <c r="I17" s="34" t="n">
        <v>10</v>
      </c>
      <c r="J17" s="51" t="n">
        <v>0</v>
      </c>
      <c r="K17" s="34" t="n">
        <v>10</v>
      </c>
      <c r="L17" s="34" t="n">
        <v>10</v>
      </c>
      <c r="M17" s="34" t="n">
        <v>10</v>
      </c>
      <c r="N17" s="34" t="n">
        <v>10</v>
      </c>
      <c r="O17" s="34" t="n">
        <v>10</v>
      </c>
      <c r="P17" s="34" t="n">
        <v>10</v>
      </c>
      <c r="Q17" s="52">
        <f>SUM(D17:P17)</f>
        <v/>
      </c>
      <c r="R17" s="35">
        <f>ROUND((Q17/130)*100, 2)</f>
        <v/>
      </c>
      <c r="S17" s="34" t="n">
        <v>20</v>
      </c>
      <c r="T17" s="34" t="n">
        <v>12</v>
      </c>
      <c r="U17" s="52">
        <f>SUM(S17:T17)</f>
        <v/>
      </c>
      <c r="V17" s="34" t="n">
        <v>17</v>
      </c>
      <c r="W17" s="34" t="n">
        <v>25</v>
      </c>
      <c r="X17" s="52">
        <f>SUM(V17:W17)</f>
        <v/>
      </c>
    </row>
    <row r="18" ht="20" customHeight="1">
      <c r="A18" s="23" t="n">
        <v>13</v>
      </c>
      <c r="B18" s="24" t="inlineStr">
        <is>
          <t>69319090033</t>
        </is>
      </c>
      <c r="C18" s="25" t="inlineStr">
        <is>
          <t>นายภานุวัฒน์  ยิ้มพ่วง</t>
        </is>
      </c>
      <c r="D18" s="51" t="n">
        <v>0</v>
      </c>
      <c r="E18" s="26" t="n">
        <v>10</v>
      </c>
      <c r="F18" s="26" t="n">
        <v>10</v>
      </c>
      <c r="G18" s="26" t="n">
        <v>10</v>
      </c>
      <c r="H18" s="26" t="n">
        <v>10</v>
      </c>
      <c r="I18" s="26" t="n">
        <v>10</v>
      </c>
      <c r="J18" s="26" t="n">
        <v>10</v>
      </c>
      <c r="K18" s="51" t="n">
        <v>0</v>
      </c>
      <c r="L18" s="51" t="n">
        <v>0</v>
      </c>
      <c r="M18" s="51" t="n">
        <v>0</v>
      </c>
      <c r="N18" s="51" t="n">
        <v>0</v>
      </c>
      <c r="O18" s="51" t="n">
        <v>0</v>
      </c>
      <c r="P18" s="51" t="n">
        <v>0</v>
      </c>
      <c r="Q18" s="50">
        <f>SUM(D18:P18)</f>
        <v/>
      </c>
      <c r="R18" s="27">
        <f>ROUND((Q18/130)*100, 2)</f>
        <v/>
      </c>
      <c r="S18" s="26" t="n">
        <v>11</v>
      </c>
      <c r="T18" s="26" t="n">
        <v>12</v>
      </c>
      <c r="U18" s="50">
        <f>SUM(S18:T18)</f>
        <v/>
      </c>
      <c r="V18" s="26" t="n">
        <v>11</v>
      </c>
      <c r="W18" s="26" t="n">
        <v>23</v>
      </c>
      <c r="X18" s="50">
        <f>SUM(V18:W18)</f>
        <v/>
      </c>
    </row>
    <row r="19" ht="20" customHeight="1">
      <c r="A19" s="31" t="n">
        <v>14</v>
      </c>
      <c r="B19" s="32" t="inlineStr">
        <is>
          <t>69319090034</t>
        </is>
      </c>
      <c r="C19" s="33" t="inlineStr">
        <is>
          <t>นายรชต  เปลี่ยนศรี</t>
        </is>
      </c>
      <c r="D19" s="34" t="n">
        <v>10</v>
      </c>
      <c r="E19" s="34" t="n">
        <v>10</v>
      </c>
      <c r="F19" s="34" t="n">
        <v>10</v>
      </c>
      <c r="G19" s="34" t="n">
        <v>10</v>
      </c>
      <c r="H19" s="34" t="n">
        <v>10</v>
      </c>
      <c r="I19" s="34" t="n">
        <v>10</v>
      </c>
      <c r="J19" s="34" t="n">
        <v>10</v>
      </c>
      <c r="K19" s="34" t="n">
        <v>10</v>
      </c>
      <c r="L19" s="34" t="n">
        <v>10</v>
      </c>
      <c r="M19" s="34" t="n">
        <v>10</v>
      </c>
      <c r="N19" s="34" t="n">
        <v>10</v>
      </c>
      <c r="O19" s="34" t="n">
        <v>10</v>
      </c>
      <c r="P19" s="34" t="n">
        <v>10</v>
      </c>
      <c r="Q19" s="52">
        <f>SUM(D19:P19)</f>
        <v/>
      </c>
      <c r="R19" s="35">
        <f>ROUND((Q19/130)*100, 2)</f>
        <v/>
      </c>
      <c r="S19" s="34" t="n">
        <v>22</v>
      </c>
      <c r="T19" s="34" t="n">
        <v>25</v>
      </c>
      <c r="U19" s="52">
        <f>SUM(S19:T19)</f>
        <v/>
      </c>
      <c r="V19" s="34" t="n">
        <v>18</v>
      </c>
      <c r="W19" s="34" t="n">
        <v>30</v>
      </c>
      <c r="X19" s="52">
        <f>SUM(V19:W19)</f>
        <v/>
      </c>
    </row>
    <row r="20" ht="20" customHeight="1">
      <c r="A20" s="23" t="n">
        <v>15</v>
      </c>
      <c r="B20" s="24" t="inlineStr">
        <is>
          <t>69319090035</t>
        </is>
      </c>
      <c r="C20" s="25" t="inlineStr">
        <is>
          <t>นายศิรศักดิ์  ม่วงงาม</t>
        </is>
      </c>
      <c r="D20" s="26" t="n">
        <v>10</v>
      </c>
      <c r="E20" s="26" t="n">
        <v>10</v>
      </c>
      <c r="F20" s="26" t="n">
        <v>10</v>
      </c>
      <c r="G20" s="26" t="n">
        <v>10</v>
      </c>
      <c r="H20" s="26" t="n">
        <v>10</v>
      </c>
      <c r="I20" s="26" t="n">
        <v>10</v>
      </c>
      <c r="J20" s="26" t="n">
        <v>10</v>
      </c>
      <c r="K20" s="26" t="n">
        <v>10</v>
      </c>
      <c r="L20" s="26" t="n">
        <v>10</v>
      </c>
      <c r="M20" s="26" t="n">
        <v>10</v>
      </c>
      <c r="N20" s="26" t="n">
        <v>10</v>
      </c>
      <c r="O20" s="26" t="n">
        <v>10</v>
      </c>
      <c r="P20" s="26" t="n">
        <v>10</v>
      </c>
      <c r="Q20" s="50">
        <f>SUM(D20:P20)</f>
        <v/>
      </c>
      <c r="R20" s="27">
        <f>ROUND((Q20/130)*100, 2)</f>
        <v/>
      </c>
      <c r="S20" s="26" t="n">
        <v>12</v>
      </c>
      <c r="T20" s="26" t="n">
        <v>15</v>
      </c>
      <c r="U20" s="50">
        <f>SUM(S20:T20)</f>
        <v/>
      </c>
      <c r="V20" s="26" t="n">
        <v>14</v>
      </c>
      <c r="W20" s="26" t="n">
        <v>2</v>
      </c>
      <c r="X20" s="50">
        <f>SUM(V20:W20)</f>
        <v/>
      </c>
    </row>
    <row r="21" ht="20" customHeight="1">
      <c r="A21" s="31" t="n">
        <v>16</v>
      </c>
      <c r="B21" s="32" t="inlineStr">
        <is>
          <t>69319090036</t>
        </is>
      </c>
      <c r="C21" s="33" t="inlineStr">
        <is>
          <t>นายศิวา  พุทธโชติ</t>
        </is>
      </c>
      <c r="D21" s="34" t="n">
        <v>10</v>
      </c>
      <c r="E21" s="34" t="n">
        <v>10</v>
      </c>
      <c r="F21" s="34" t="n">
        <v>10</v>
      </c>
      <c r="G21" s="34" t="n">
        <v>10</v>
      </c>
      <c r="H21" s="34" t="n">
        <v>10</v>
      </c>
      <c r="I21" s="34" t="n">
        <v>10</v>
      </c>
      <c r="J21" s="34" t="n">
        <v>10</v>
      </c>
      <c r="K21" s="34" t="n">
        <v>10</v>
      </c>
      <c r="L21" s="34" t="n">
        <v>10</v>
      </c>
      <c r="M21" s="34" t="n">
        <v>10</v>
      </c>
      <c r="N21" s="34" t="n">
        <v>10</v>
      </c>
      <c r="O21" s="51" t="n">
        <v>0</v>
      </c>
      <c r="P21" s="51" t="n">
        <v>0</v>
      </c>
      <c r="Q21" s="52">
        <f>SUM(D21:P21)</f>
        <v/>
      </c>
      <c r="R21" s="35">
        <f>ROUND((Q21/130)*100, 2)</f>
        <v/>
      </c>
      <c r="S21" s="34" t="n">
        <v>16</v>
      </c>
      <c r="T21" s="34" t="n">
        <v>17</v>
      </c>
      <c r="U21" s="52">
        <f>SUM(S21:T21)</f>
        <v/>
      </c>
      <c r="V21" s="34" t="n">
        <v>20</v>
      </c>
      <c r="W21" s="34" t="n">
        <v>13</v>
      </c>
      <c r="X21" s="52">
        <f>SUM(V21:W21)</f>
        <v/>
      </c>
    </row>
    <row r="22" ht="20" customHeight="1">
      <c r="A22" s="23" t="n">
        <v>17</v>
      </c>
      <c r="B22" s="24" t="inlineStr">
        <is>
          <t>69319090037</t>
        </is>
      </c>
      <c r="C22" s="25" t="inlineStr">
        <is>
          <t>นายศุภกร  แสงจันทร์</t>
        </is>
      </c>
      <c r="D22" s="26" t="n">
        <v>9</v>
      </c>
      <c r="E22" s="26" t="n">
        <v>5</v>
      </c>
      <c r="F22" s="26" t="n">
        <v>10</v>
      </c>
      <c r="G22" s="26" t="n">
        <v>10</v>
      </c>
      <c r="H22" s="26" t="n">
        <v>10</v>
      </c>
      <c r="I22" s="26" t="n">
        <v>10</v>
      </c>
      <c r="J22" s="26" t="n">
        <v>10</v>
      </c>
      <c r="K22" s="26" t="n">
        <v>10</v>
      </c>
      <c r="L22" s="26" t="n">
        <v>10</v>
      </c>
      <c r="M22" s="26" t="n">
        <v>10</v>
      </c>
      <c r="N22" s="26" t="n">
        <v>10</v>
      </c>
      <c r="O22" s="26" t="n">
        <v>10</v>
      </c>
      <c r="P22" s="51" t="n">
        <v>0</v>
      </c>
      <c r="Q22" s="50">
        <f>SUM(D22:P22)</f>
        <v/>
      </c>
      <c r="R22" s="27">
        <f>ROUND((Q22/130)*100, 2)</f>
        <v/>
      </c>
      <c r="S22" s="26" t="n">
        <v>12</v>
      </c>
      <c r="T22" s="26" t="n">
        <v>13</v>
      </c>
      <c r="U22" s="50">
        <f>SUM(S22:T22)</f>
        <v/>
      </c>
      <c r="V22" s="26" t="n">
        <v>11</v>
      </c>
      <c r="W22" s="53" t="n">
        <v>23.5</v>
      </c>
      <c r="X22" s="50">
        <f>SUM(V22:W22)</f>
        <v/>
      </c>
    </row>
    <row r="23" ht="20" customHeight="1">
      <c r="A23" s="31" t="n">
        <v>18</v>
      </c>
      <c r="B23" s="32" t="inlineStr">
        <is>
          <t>69319090038</t>
        </is>
      </c>
      <c r="C23" s="33" t="inlineStr">
        <is>
          <t>นางสาวโสธิตา  มีผล</t>
        </is>
      </c>
      <c r="D23" s="34" t="n">
        <v>10</v>
      </c>
      <c r="E23" s="34" t="n">
        <v>10</v>
      </c>
      <c r="F23" s="34" t="n">
        <v>10</v>
      </c>
      <c r="G23" s="34" t="n">
        <v>10</v>
      </c>
      <c r="H23" s="34" t="n">
        <v>10</v>
      </c>
      <c r="I23" s="34" t="n">
        <v>10</v>
      </c>
      <c r="J23" s="51" t="n">
        <v>0</v>
      </c>
      <c r="K23" s="34" t="n">
        <v>10</v>
      </c>
      <c r="L23" s="34" t="n">
        <v>10</v>
      </c>
      <c r="M23" s="34" t="n">
        <v>10</v>
      </c>
      <c r="N23" s="34" t="n">
        <v>10</v>
      </c>
      <c r="O23" s="34" t="n">
        <v>10</v>
      </c>
      <c r="P23" s="51" t="n">
        <v>0</v>
      </c>
      <c r="Q23" s="52">
        <f>SUM(D23:P23)</f>
        <v/>
      </c>
      <c r="R23" s="35">
        <f>ROUND((Q23/130)*100, 2)</f>
        <v/>
      </c>
      <c r="S23" s="34" t="n">
        <v>18</v>
      </c>
      <c r="T23" s="34" t="n">
        <v>19</v>
      </c>
      <c r="U23" s="52">
        <f>SUM(S23:T23)</f>
        <v/>
      </c>
      <c r="V23" s="34" t="n">
        <v>16</v>
      </c>
      <c r="W23" s="34" t="n">
        <v>23</v>
      </c>
      <c r="X23" s="52">
        <f>SUM(V23:W23)</f>
        <v/>
      </c>
    </row>
    <row r="24" ht="20" customHeight="1">
      <c r="A24" s="23" t="n">
        <v>19</v>
      </c>
      <c r="B24" s="24" t="inlineStr">
        <is>
          <t>69319090039</t>
        </is>
      </c>
      <c r="C24" s="25" t="inlineStr">
        <is>
          <t>นายอนาวินทร์  แก้วเก้า</t>
        </is>
      </c>
      <c r="D24" s="26" t="n">
        <v>10</v>
      </c>
      <c r="E24" s="26" t="n">
        <v>10</v>
      </c>
      <c r="F24" s="51" t="n">
        <v>0</v>
      </c>
      <c r="G24" s="51" t="n">
        <v>0</v>
      </c>
      <c r="H24" s="51" t="n">
        <v>0</v>
      </c>
      <c r="I24" s="26" t="n">
        <v>10</v>
      </c>
      <c r="J24" s="26" t="n">
        <v>10</v>
      </c>
      <c r="K24" s="26" t="n">
        <v>10</v>
      </c>
      <c r="L24" s="26" t="n">
        <v>10</v>
      </c>
      <c r="M24" s="51" t="n">
        <v>0</v>
      </c>
      <c r="N24" s="51" t="n">
        <v>0</v>
      </c>
      <c r="O24" s="51" t="n">
        <v>0</v>
      </c>
      <c r="P24" s="51" t="n">
        <v>0</v>
      </c>
      <c r="Q24" s="50">
        <f>SUM(D24:P24)</f>
        <v/>
      </c>
      <c r="R24" s="27">
        <f>ROUND((Q24/130)*100, 2)</f>
        <v/>
      </c>
      <c r="S24" s="26" t="n">
        <v>11</v>
      </c>
      <c r="T24" s="26" t="n">
        <v>13</v>
      </c>
      <c r="U24" s="50">
        <f>SUM(S24:T24)</f>
        <v/>
      </c>
      <c r="V24" s="26" t="n">
        <v>21</v>
      </c>
      <c r="W24" s="26" t="n">
        <v>18</v>
      </c>
      <c r="X24" s="50">
        <f>SUM(V24:W24)</f>
        <v/>
      </c>
    </row>
    <row r="25" ht="21" customHeight="1">
      <c r="A25" s="39" t="inlineStr">
        <is>
          <t>คะแนนเฉลี่ย</t>
        </is>
      </c>
      <c r="B25" s="40" t="n"/>
      <c r="C25" s="40" t="n"/>
      <c r="D25" s="54">
        <f>AVERAGE(D6:D24)</f>
        <v/>
      </c>
      <c r="E25" s="54">
        <f>AVERAGE(E6:E24)</f>
        <v/>
      </c>
      <c r="F25" s="54">
        <f>AVERAGE(F6:F24)</f>
        <v/>
      </c>
      <c r="G25" s="54">
        <f>AVERAGE(G6:G24)</f>
        <v/>
      </c>
      <c r="H25" s="54">
        <f>AVERAGE(H6:H24)</f>
        <v/>
      </c>
      <c r="I25" s="54">
        <f>AVERAGE(I6:I24)</f>
        <v/>
      </c>
      <c r="J25" s="54">
        <f>AVERAGE(J6:J24)</f>
        <v/>
      </c>
      <c r="K25" s="54">
        <f>AVERAGE(K6:K24)</f>
        <v/>
      </c>
      <c r="L25" s="54">
        <f>AVERAGE(L6:L24)</f>
        <v/>
      </c>
      <c r="M25" s="54">
        <f>AVERAGE(M6:M24)</f>
        <v/>
      </c>
      <c r="N25" s="54">
        <f>AVERAGE(N6:N24)</f>
        <v/>
      </c>
      <c r="O25" s="54">
        <f>AVERAGE(O6:O24)</f>
        <v/>
      </c>
      <c r="P25" s="54">
        <f>AVERAGE(P6:P24)</f>
        <v/>
      </c>
      <c r="Q25" s="41">
        <f>AVERAGE(Q6:Q24)</f>
        <v/>
      </c>
      <c r="R25" s="41">
        <f>AVERAGE(R6:R24)</f>
        <v/>
      </c>
      <c r="S25" s="54">
        <f>AVERAGE(S6:S24)</f>
        <v/>
      </c>
      <c r="T25" s="54">
        <f>AVERAGE(T6:T24)</f>
        <v/>
      </c>
      <c r="U25" s="41">
        <f>AVERAGE(U6:U24)</f>
        <v/>
      </c>
      <c r="V25" s="54">
        <f>AVERAGE(V6:V24)</f>
        <v/>
      </c>
      <c r="W25" s="54">
        <f>AVERAGE(W6:W24)</f>
        <v/>
      </c>
      <c r="X25" s="41">
        <f>AVERAGE(X6:X24)</f>
        <v/>
      </c>
    </row>
    <row r="26" ht="21" customHeight="1">
      <c r="A26" s="39" t="inlineStr">
        <is>
          <t>คะแนนสูงสุด</t>
        </is>
      </c>
      <c r="B26" s="40" t="n"/>
      <c r="C26" s="40" t="n"/>
      <c r="D26" s="55">
        <f>MAX(D6:D24)</f>
        <v/>
      </c>
      <c r="E26" s="55">
        <f>MAX(E6:E24)</f>
        <v/>
      </c>
      <c r="F26" s="55">
        <f>MAX(F6:F24)</f>
        <v/>
      </c>
      <c r="G26" s="55">
        <f>MAX(G6:G24)</f>
        <v/>
      </c>
      <c r="H26" s="55">
        <f>MAX(H6:H24)</f>
        <v/>
      </c>
      <c r="I26" s="55">
        <f>MAX(I6:I24)</f>
        <v/>
      </c>
      <c r="J26" s="55">
        <f>MAX(J6:J24)</f>
        <v/>
      </c>
      <c r="K26" s="55">
        <f>MAX(K6:K24)</f>
        <v/>
      </c>
      <c r="L26" s="55">
        <f>MAX(L6:L24)</f>
        <v/>
      </c>
      <c r="M26" s="55">
        <f>MAX(M6:M24)</f>
        <v/>
      </c>
      <c r="N26" s="55">
        <f>MAX(N6:N24)</f>
        <v/>
      </c>
      <c r="O26" s="55">
        <f>MAX(O6:O24)</f>
        <v/>
      </c>
      <c r="P26" s="55">
        <f>MAX(P6:P24)</f>
        <v/>
      </c>
      <c r="Q26" s="56">
        <f>MAX(Q6:Q24)</f>
        <v/>
      </c>
      <c r="R26" s="41">
        <f>MAX(R6:R24)</f>
        <v/>
      </c>
      <c r="S26" s="55">
        <f>MAX(S6:S24)</f>
        <v/>
      </c>
      <c r="T26" s="55">
        <f>MAX(T6:T24)</f>
        <v/>
      </c>
      <c r="U26" s="56">
        <f>MAX(U6:U24)</f>
        <v/>
      </c>
      <c r="V26" s="55">
        <f>MAX(V6:V24)</f>
        <v/>
      </c>
      <c r="W26" s="55">
        <f>MAX(W6:W24)</f>
        <v/>
      </c>
      <c r="X26" s="56">
        <f>MAX(X6:X24)</f>
        <v/>
      </c>
    </row>
    <row r="27" ht="21" customHeight="1">
      <c r="A27" s="43" t="inlineStr">
        <is>
          <t>คะแนนต่ำสุด</t>
        </is>
      </c>
      <c r="B27" s="44" t="n"/>
      <c r="C27" s="44" t="n"/>
      <c r="D27" s="57">
        <f>MIN(D6:D24)</f>
        <v/>
      </c>
      <c r="E27" s="57">
        <f>MIN(E6:E24)</f>
        <v/>
      </c>
      <c r="F27" s="57">
        <f>MIN(F6:F24)</f>
        <v/>
      </c>
      <c r="G27" s="57">
        <f>MIN(G6:G24)</f>
        <v/>
      </c>
      <c r="H27" s="57">
        <f>MIN(H6:H24)</f>
        <v/>
      </c>
      <c r="I27" s="57">
        <f>MIN(I6:I24)</f>
        <v/>
      </c>
      <c r="J27" s="57">
        <f>MIN(J6:J24)</f>
        <v/>
      </c>
      <c r="K27" s="57">
        <f>MIN(K6:K24)</f>
        <v/>
      </c>
      <c r="L27" s="57">
        <f>MIN(L6:L24)</f>
        <v/>
      </c>
      <c r="M27" s="57">
        <f>MIN(M6:M24)</f>
        <v/>
      </c>
      <c r="N27" s="57">
        <f>MIN(N6:N24)</f>
        <v/>
      </c>
      <c r="O27" s="57">
        <f>MIN(O6:O24)</f>
        <v/>
      </c>
      <c r="P27" s="57">
        <f>MIN(P6:P24)</f>
        <v/>
      </c>
      <c r="Q27" s="58">
        <f>MIN(Q6:Q24)</f>
        <v/>
      </c>
      <c r="R27" s="46">
        <f>MIN(R6:R24)</f>
        <v/>
      </c>
      <c r="S27" s="57">
        <f>MIN(S6:S24)</f>
        <v/>
      </c>
      <c r="T27" s="57">
        <f>MIN(T6:T24)</f>
        <v/>
      </c>
      <c r="U27" s="58">
        <f>MIN(U6:U24)</f>
        <v/>
      </c>
      <c r="V27" s="57">
        <f>MIN(V6:V24)</f>
        <v/>
      </c>
      <c r="W27" s="57">
        <f>MIN(W6:W24)</f>
        <v/>
      </c>
      <c r="X27" s="58">
        <f>MIN(X6:X24)</f>
        <v/>
      </c>
    </row>
  </sheetData>
  <mergeCells count="9">
    <mergeCell ref="A25:C25"/>
    <mergeCell ref="A2:X2"/>
    <mergeCell ref="S4:U4"/>
    <mergeCell ref="A27:C27"/>
    <mergeCell ref="V4:X4"/>
    <mergeCell ref="D4:R4"/>
    <mergeCell ref="A1:X1"/>
    <mergeCell ref="A4:C4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0" customWidth="1" min="4" max="4"/>
    <col width="45" customWidth="1" min="5" max="5"/>
    <col width="16" customWidth="1" min="6" max="6"/>
    <col width="55" customWidth="1" min="7" max="7"/>
  </cols>
  <sheetData>
    <row r="1" ht="25" customHeight="1">
      <c r="A1" s="1" t="inlineStr">
        <is>
          <t>ตารางจับคู่บัญชี Google Classroom กับทะเบียนนักศึกษา</t>
        </is>
      </c>
    </row>
    <row r="2" ht="18" customHeight="1">
      <c r="A2" s="2" t="inlineStr">
        <is>
          <t>วิชา การสร้างเว็บไซต์และระบบฐานข้อมูล (31909-0003) | 1 สทค 2 (ม.6) | ใช้ตรวจสอบความถูกต้องของการลงคะแนน</t>
        </is>
      </c>
    </row>
    <row r="3" ht="8" customHeight="1"/>
    <row r="4" ht="28" customHeight="1">
      <c r="A4" s="16" t="inlineStr">
        <is>
          <t>ลำดับที่</t>
        </is>
      </c>
      <c r="B4" s="16" t="inlineStr">
        <is>
          <t>รหัสนักศึกษา</t>
        </is>
      </c>
      <c r="C4" s="16" t="inlineStr">
        <is>
          <t>ชื่อ - สกุล ในทะเบียน</t>
        </is>
      </c>
      <c r="D4" s="16" t="inlineStr">
        <is>
          <t>ชื่อที่แสดงใน Classroom</t>
        </is>
      </c>
      <c r="E4" s="16" t="inlineStr">
        <is>
          <t>อีเมลที่ใช้ส่งงานใน Classroom</t>
        </is>
      </c>
      <c r="F4" s="16" t="inlineStr">
        <is>
          <t>จำนวนงานที่พบ</t>
        </is>
      </c>
      <c r="G4" s="16" t="inlineStr">
        <is>
          <t>หลักฐานการจับคู่ / บัญชีเพิ่มเติม</t>
        </is>
      </c>
    </row>
    <row r="5" ht="22" customHeight="1">
      <c r="A5" s="23" t="n">
        <v>1</v>
      </c>
      <c r="B5" s="24" t="inlineStr">
        <is>
          <t>69319090021</t>
        </is>
      </c>
      <c r="C5" s="25" t="inlineStr">
        <is>
          <t>นางสาวกาญจน์เกล้า  แซ่ลิ้ม</t>
        </is>
      </c>
      <c r="D5" s="25" t="inlineStr">
        <is>
          <t>kkankao saelimk</t>
        </is>
      </c>
      <c r="E5" s="25" t="inlineStr">
        <is>
          <t>kkankaosaelimk@gmail.com</t>
        </is>
      </c>
      <c r="F5" s="30" t="inlineStr">
        <is>
          <t>13 / 13 งาน</t>
        </is>
      </c>
      <c r="G5" s="25" t="inlineStr">
        <is>
          <t>ชื่อไฟล์แนบส่ง: 021w5.html (รหัสท้าย 021)</t>
        </is>
      </c>
    </row>
    <row r="6" ht="22" customHeight="1">
      <c r="A6" s="31" t="n">
        <v>2</v>
      </c>
      <c r="B6" s="32" t="inlineStr">
        <is>
          <t>69319090022</t>
        </is>
      </c>
      <c r="C6" s="33" t="inlineStr">
        <is>
          <t>นางสาวฐิติพร  เจริญสลุง</t>
        </is>
      </c>
      <c r="D6" s="33" t="inlineStr">
        <is>
          <t>Titiporn Jaroensalung</t>
        </is>
      </c>
      <c r="E6" s="33" t="inlineStr">
        <is>
          <t>fg.titiporn15@gmail.com</t>
        </is>
      </c>
      <c r="F6" s="38" t="inlineStr">
        <is>
          <t>12 / 13 งาน</t>
        </is>
      </c>
      <c r="G6" s="33" t="inlineStr">
        <is>
          <t>ชื่อไฟล์แนบส่ง: 69319090022แบบฝึ...</t>
        </is>
      </c>
    </row>
    <row r="7" ht="22" customHeight="1">
      <c r="A7" s="23" t="n">
        <v>3</v>
      </c>
      <c r="B7" s="24" t="inlineStr">
        <is>
          <t>69319090023</t>
        </is>
      </c>
      <c r="C7" s="25" t="inlineStr">
        <is>
          <t>นายทักษดนย์  ชูชื่น</t>
        </is>
      </c>
      <c r="D7" s="25" t="inlineStr">
        <is>
          <t>ทักษดนย์ 023</t>
        </is>
      </c>
      <c r="E7" s="25" t="inlineStr">
        <is>
          <t>taksadoncc@gmail.com</t>
        </is>
      </c>
      <c r="F7" s="30" t="inlineStr">
        <is>
          <t>7 / 13 งาน</t>
        </is>
      </c>
      <c r="G7" s="25" t="inlineStr">
        <is>
          <t>ชื่อบัญชีระบุ: ทักษดนย์ 023 (ตรงกับรหัสท้าย 023)</t>
        </is>
      </c>
    </row>
    <row r="8" ht="22" customHeight="1">
      <c r="A8" s="31" t="n">
        <v>4</v>
      </c>
      <c r="B8" s="32" t="inlineStr">
        <is>
          <t>69319090024</t>
        </is>
      </c>
      <c r="C8" s="33" t="inlineStr">
        <is>
          <t>นายทินภัทร  มะนาวหวาน</t>
        </is>
      </c>
      <c r="D8" s="33" t="inlineStr">
        <is>
          <t>นายทินภัทร มะนาวหวาน</t>
        </is>
      </c>
      <c r="E8" s="33" t="inlineStr">
        <is>
          <t>69319090024@lbtech.ac.th</t>
        </is>
      </c>
      <c r="F8" s="38" t="inlineStr">
        <is>
          <t>13 / 13 งาน</t>
        </is>
      </c>
      <c r="G8" s="33" t="inlineStr">
        <is>
          <t>ใช้อีเมลวิทยาลัย 69319090024@lbtech.ac.th, ไฟล์แนบ: 69319090024 week...</t>
        </is>
      </c>
    </row>
    <row r="9" ht="22" customHeight="1">
      <c r="A9" s="23" t="n">
        <v>5</v>
      </c>
      <c r="B9" s="24" t="inlineStr">
        <is>
          <t>69319090025</t>
        </is>
      </c>
      <c r="C9" s="25" t="inlineStr">
        <is>
          <t>นางสาวธันย์ชนก  ทับทิมทอง</t>
        </is>
      </c>
      <c r="D9" s="25" t="inlineStr">
        <is>
          <t>Thanchanok Thipthimthong</t>
        </is>
      </c>
      <c r="E9" s="25" t="inlineStr">
        <is>
          <t>thanchanok02134@gmail.com</t>
        </is>
      </c>
      <c r="F9" s="30" t="inlineStr">
        <is>
          <t>6 / 13 งาน</t>
        </is>
      </c>
      <c r="G9" s="25" t="inlineStr">
        <is>
          <t>ชื่อไฟล์แนบส่ง: 69319090025 input....</t>
        </is>
      </c>
    </row>
    <row r="10" ht="22" customHeight="1">
      <c r="A10" s="31" t="n">
        <v>6</v>
      </c>
      <c r="B10" s="32" t="inlineStr">
        <is>
          <t>69319090026</t>
        </is>
      </c>
      <c r="C10" s="33" t="inlineStr">
        <is>
          <t>นายธีรพันธ์  เต็งน้อย</t>
        </is>
      </c>
      <c r="D10" s="33" t="inlineStr">
        <is>
          <t>ธีรพันธ์ เต็งน้อย</t>
        </is>
      </c>
      <c r="E10" s="33" t="inlineStr">
        <is>
          <t>wiko0405phone@gmail.com</t>
        </is>
      </c>
      <c r="F10" s="38" t="inlineStr">
        <is>
          <t>13 / 13 งาน</t>
        </is>
      </c>
      <c r="G10" s="33" t="inlineStr">
        <is>
          <t>ชื่อไฟล์แนบส่ง: 69319090026 งานแ...</t>
        </is>
      </c>
    </row>
    <row r="11" ht="22" customHeight="1">
      <c r="A11" s="23" t="n">
        <v>7</v>
      </c>
      <c r="B11" s="24" t="inlineStr">
        <is>
          <t>69319090027</t>
        </is>
      </c>
      <c r="C11" s="25" t="inlineStr">
        <is>
          <t>นายนครินทร์  แก้วโสตย</t>
        </is>
      </c>
      <c r="D11" s="25" t="inlineStr">
        <is>
          <t>Mark</t>
        </is>
      </c>
      <c r="E11" s="25" t="inlineStr">
        <is>
          <t>nakarint1851@gmail.com</t>
        </is>
      </c>
      <c r="F11" s="30" t="inlineStr">
        <is>
          <t>9 / 13 งาน</t>
        </is>
      </c>
      <c r="G11" s="25" t="inlineStr">
        <is>
          <t>อีเมล nakarint1851@gmail.com (ชื่อ นครินทร์), ไฟล์แนบ: 69319090027 week...</t>
        </is>
      </c>
    </row>
    <row r="12" ht="22" customHeight="1">
      <c r="A12" s="31" t="n">
        <v>8</v>
      </c>
      <c r="B12" s="32" t="inlineStr">
        <is>
          <t>69319090028</t>
        </is>
      </c>
      <c r="C12" s="33" t="inlineStr">
        <is>
          <t>นายปัญญพัฒน์  บุญเกตุ</t>
        </is>
      </c>
      <c r="D12" s="33" t="inlineStr">
        <is>
          <t>ปัญญพัฒน์ บุญเกตุ</t>
        </is>
      </c>
      <c r="E12" s="33" t="inlineStr">
        <is>
          <t>panyapatbunkatt@gmail.com</t>
        </is>
      </c>
      <c r="F12" s="38" t="inlineStr">
        <is>
          <t>8 / 13 งาน</t>
        </is>
      </c>
      <c r="G12" s="33" t="inlineStr">
        <is>
          <t>ชื่อไฟล์แนบส่ง: 69319090028 . .html</t>
        </is>
      </c>
    </row>
    <row r="13" ht="22" customHeight="1">
      <c r="A13" s="23" t="n">
        <v>9</v>
      </c>
      <c r="B13" s="24" t="inlineStr">
        <is>
          <t>69319090029</t>
        </is>
      </c>
      <c r="C13" s="25" t="inlineStr">
        <is>
          <t>นางสาวปิยธิดา  บุตรนิน</t>
        </is>
      </c>
      <c r="D13" s="25" t="inlineStr">
        <is>
          <t>Piyathda Boothnin / ppp 123 / นางสาวปิยธิดา บุตรนิน / ปิยธิดา บุตรนิน</t>
        </is>
      </c>
      <c r="E13" s="25" t="inlineStr">
        <is>
          <t>piyathdaboothnin@gmail.com, ppzz123124@gmail.com, 69319090029@lbtech.ac.th, preme5645@gmail.com</t>
        </is>
      </c>
      <c r="F13" s="30" t="inlineStr">
        <is>
          <t>6 / 13 งาน</t>
        </is>
      </c>
      <c r="G13" s="25" t="inlineStr">
        <is>
          <t>พบใช้ 4 บัญชี: piyathdaboothnin@, preme5645@, ppzz123124@, 69319090029@ (คะแนนไม่ขัดแย้งกัน รวมเข้าด้วยกัน)</t>
        </is>
      </c>
    </row>
    <row r="14" ht="22" customHeight="1">
      <c r="A14" s="31" t="n">
        <v>10</v>
      </c>
      <c r="B14" s="32" t="inlineStr">
        <is>
          <t>69319090030</t>
        </is>
      </c>
      <c r="C14" s="33" t="inlineStr">
        <is>
          <t>นายพิทวัส  วงค์ตาเขียว</t>
        </is>
      </c>
      <c r="D14" s="33" t="inlineStr">
        <is>
          <t>นายพิทวัส วงค์ตาเขียว / พิทวัส วงค์ตาเขียว</t>
        </is>
      </c>
      <c r="E14" s="33" t="inlineStr">
        <is>
          <t>69319090030@lbtech.ac.th, pittawatwongchearw@gmail.com</t>
        </is>
      </c>
      <c r="F14" s="38" t="inlineStr">
        <is>
          <t>10 / 13 งาน</t>
        </is>
      </c>
      <c r="G14" s="33" t="inlineStr">
        <is>
          <t>พบ 2 บัญชี: 69319090030@lbtech.ac.th (มีคะแนน) และ pittawatwongchearw@ (0 คะแนน)</t>
        </is>
      </c>
    </row>
    <row r="15" ht="22" customHeight="1">
      <c r="A15" s="23" t="n">
        <v>11</v>
      </c>
      <c r="B15" s="24" t="inlineStr">
        <is>
          <t>69319090031</t>
        </is>
      </c>
      <c r="C15" s="25" t="inlineStr">
        <is>
          <t>นายพีรพัฒน์  พาหุรัตน์</t>
        </is>
      </c>
      <c r="D15" s="25" t="inlineStr">
        <is>
          <t>6861_05_นายพีรพัฒน์ พาหุรัตน์ / พีรพัฒน์ พาหุรัตน์</t>
        </is>
      </c>
      <c r="E15" s="25" t="inlineStr">
        <is>
          <t>skj19182@skj.ac.th, pccoco351@gmail.com</t>
        </is>
      </c>
      <c r="F15" s="30" t="inlineStr">
        <is>
          <t>6 / 13 งาน</t>
        </is>
      </c>
      <c r="G15" s="25" t="inlineStr">
        <is>
          <t>พบ 2 บัญชี: skj19182@skj.ac.th (มีคะแนน, แนบไฟล์ 69319090031...) และ pccoco351@ (0 คะแนน)</t>
        </is>
      </c>
    </row>
    <row r="16" ht="22" customHeight="1">
      <c r="A16" s="31" t="n">
        <v>12</v>
      </c>
      <c r="B16" s="32" t="inlineStr">
        <is>
          <t>69319090032</t>
        </is>
      </c>
      <c r="C16" s="33" t="inlineStr">
        <is>
          <t>นายภาณุวัฒน์  ปั่นสันเที่ยะ</t>
        </is>
      </c>
      <c r="D16" s="33" t="inlineStr">
        <is>
          <t>ภาณุวัฒน์ ปั่นสันเที่ยะ 032</t>
        </is>
      </c>
      <c r="E16" s="33" t="inlineStr">
        <is>
          <t>huaweiy70612@gmail.com</t>
        </is>
      </c>
      <c r="F16" s="38" t="inlineStr">
        <is>
          <t>12 / 13 งาน</t>
        </is>
      </c>
      <c r="G16" s="33" t="inlineStr">
        <is>
          <t>ชื่อบัญชีระบุ: ภาณุวัฒน์ ปั่นสันเที่ยะ 032, ไฟล์แนบ: 69319090032new.h...</t>
        </is>
      </c>
    </row>
    <row r="17" ht="22" customHeight="1">
      <c r="A17" s="23" t="n">
        <v>13</v>
      </c>
      <c r="B17" s="24" t="inlineStr">
        <is>
          <t>69319090033</t>
        </is>
      </c>
      <c r="C17" s="25" t="inlineStr">
        <is>
          <t>นายภานุวัฒน์  ยิ้มพ่วง</t>
        </is>
      </c>
      <c r="D17" s="25" t="inlineStr">
        <is>
          <t>ภานุวัฒน์ ยิ้มพ่วง</t>
        </is>
      </c>
      <c r="E17" s="25" t="inlineStr">
        <is>
          <t>khnhlxphmnxt@gmail.com</t>
        </is>
      </c>
      <c r="F17" s="30" t="inlineStr">
        <is>
          <t>6 / 13 งาน</t>
        </is>
      </c>
      <c r="G17" s="25" t="inlineStr">
        <is>
          <t>ชื่อบัญชีตรงกับรายชื่อ: นายภานุวัฒน์ ยิ้มพ่วง (สถานะส่งงานใน Classroom)</t>
        </is>
      </c>
    </row>
    <row r="18" ht="22" customHeight="1">
      <c r="A18" s="31" t="n">
        <v>14</v>
      </c>
      <c r="B18" s="32" t="inlineStr">
        <is>
          <t>69319090034</t>
        </is>
      </c>
      <c r="C18" s="33" t="inlineStr">
        <is>
          <t>นายรชต  เปลี่ยนศรี</t>
        </is>
      </c>
      <c r="D18" s="33" t="inlineStr">
        <is>
          <t>รชต เปลี่ยนศรี 070</t>
        </is>
      </c>
      <c r="E18" s="33" t="inlineStr">
        <is>
          <t>rchtpeliynsri@gmail.com</t>
        </is>
      </c>
      <c r="F18" s="38" t="inlineStr">
        <is>
          <t>13 / 13 งาน</t>
        </is>
      </c>
      <c r="G18" s="33" t="inlineStr">
        <is>
          <t>ชื่อบัญชีระบุ: รชต เปลี่ยนศรี 070, ไฟล์แนบ: 69319090034.html</t>
        </is>
      </c>
    </row>
    <row r="19" ht="22" customHeight="1">
      <c r="A19" s="23" t="n">
        <v>15</v>
      </c>
      <c r="B19" s="24" t="inlineStr">
        <is>
          <t>69319090035</t>
        </is>
      </c>
      <c r="C19" s="25" t="inlineStr">
        <is>
          <t>นายศิรศักดิ์  ม่วงงาม</t>
        </is>
      </c>
      <c r="D19" s="25" t="inlineStr">
        <is>
          <t>นายศิรศักดิ์ ม่วงงาม</t>
        </is>
      </c>
      <c r="E19" s="25" t="inlineStr">
        <is>
          <t>69319090035@lbtech.ac.th</t>
        </is>
      </c>
      <c r="F19" s="30" t="inlineStr">
        <is>
          <t>13 / 13 งาน</t>
        </is>
      </c>
      <c r="G19" s="25" t="inlineStr">
        <is>
          <t>ใช้อีเมลวิทยาลัย 69319090035@lbtech.ac.th และชื่อตรงกับรายชื่อ</t>
        </is>
      </c>
    </row>
    <row r="20" ht="22" customHeight="1">
      <c r="A20" s="31" t="n">
        <v>16</v>
      </c>
      <c r="B20" s="32" t="inlineStr">
        <is>
          <t>69319090036</t>
        </is>
      </c>
      <c r="C20" s="33" t="inlineStr">
        <is>
          <t>นายศิวา  พุทธโชติ</t>
        </is>
      </c>
      <c r="D20" s="33" t="inlineStr">
        <is>
          <t>30ศิวา พุทธโชติ</t>
        </is>
      </c>
      <c r="E20" s="33" t="inlineStr">
        <is>
          <t>gxjkle1@gmail.com</t>
        </is>
      </c>
      <c r="F20" s="38" t="inlineStr">
        <is>
          <t>11 / 13 งาน</t>
        </is>
      </c>
      <c r="G20" s="33" t="inlineStr">
        <is>
          <t>ชื่อบัญชีระบุ: 30ศิวา พุทธโชติ, ไฟล์แนบ: งานเว็ป69310036.html</t>
        </is>
      </c>
    </row>
    <row r="21" ht="22" customHeight="1">
      <c r="A21" s="23" t="n">
        <v>17</v>
      </c>
      <c r="B21" s="24" t="inlineStr">
        <is>
          <t>69319090037</t>
        </is>
      </c>
      <c r="C21" s="25" t="inlineStr">
        <is>
          <t>นายศุภกร  แสงจันทร์</t>
        </is>
      </c>
      <c r="D21" s="25" t="inlineStr">
        <is>
          <t>ศุภกร เเสงจันทร์</t>
        </is>
      </c>
      <c r="E21" s="25" t="inlineStr">
        <is>
          <t>nrtdram@gmail.com</t>
        </is>
      </c>
      <c r="F21" s="30" t="inlineStr">
        <is>
          <t>12 / 13 งาน</t>
        </is>
      </c>
      <c r="G21" s="25" t="inlineStr">
        <is>
          <t>ชื่อตรงกับรายชื่อ ศุภกร แสงจันทร์, ไฟล์แนบ: งานเว็ป0037.html</t>
        </is>
      </c>
    </row>
    <row r="22" ht="22" customHeight="1">
      <c r="A22" s="31" t="n">
        <v>18</v>
      </c>
      <c r="B22" s="32" t="inlineStr">
        <is>
          <t>69319090038</t>
        </is>
      </c>
      <c r="C22" s="33" t="inlineStr">
        <is>
          <t>นางสาวโสธิตา  มีผล</t>
        </is>
      </c>
      <c r="D22" s="33" t="inlineStr">
        <is>
          <t>โสธิตา มีผล 038</t>
        </is>
      </c>
      <c r="E22" s="33" t="inlineStr">
        <is>
          <t>sotitaneepol@gmail.com</t>
        </is>
      </c>
      <c r="F22" s="38" t="inlineStr">
        <is>
          <t>11 / 13 งาน</t>
        </is>
      </c>
      <c r="G22" s="33" t="inlineStr">
        <is>
          <t>ชื่อบัญชีระบุ: โสธิตา มีผล 038 (ตรงกับรหัสท้าย 038)</t>
        </is>
      </c>
    </row>
    <row r="23" ht="22" customHeight="1">
      <c r="A23" s="23" t="n">
        <v>19</v>
      </c>
      <c r="B23" s="24" t="inlineStr">
        <is>
          <t>69319090039</t>
        </is>
      </c>
      <c r="C23" s="25" t="inlineStr">
        <is>
          <t>นายอนาวินทร์  แก้วเก้า</t>
        </is>
      </c>
      <c r="D23" s="25" t="inlineStr">
        <is>
          <t>อนาวินทร์ แก้วเก้า</t>
        </is>
      </c>
      <c r="E23" s="25" t="inlineStr">
        <is>
          <t>anawinkaewkao@gmail.com</t>
        </is>
      </c>
      <c r="F23" s="30" t="inlineStr">
        <is>
          <t>6 / 13 งาน</t>
        </is>
      </c>
      <c r="G23" s="25" t="inlineStr">
        <is>
          <t>ชื่อบัญชีตรงกับรายชื่อ: นายอนาวินทร์ แก้วเก้า (สถานะส่งงานใน Classroom)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2026-09-14T20:41:33Z</dcterms:created>
  <dcterms:modified xmlns:dcterms="http://purl.org/dc/terms/" xmlns:xsi="http://www.w3.org/2001/XMLSchema-instance" xsi:type="dcterms:W3CDTF">2026-09-14T20:41:33Z</dcterms:modified>
</cp:coreProperties>
</file>